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1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17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8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9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saveExternalLinkValues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Bagdasaryan\Генераторы\Генератор ТКП\"/>
    </mc:Choice>
  </mc:AlternateContent>
  <xr:revisionPtr revIDLastSave="0" documentId="13_ncr:1_{2F8D76E1-8CC2-4EF6-B708-9C340929DDC0}" xr6:coauthVersionLast="47" xr6:coauthVersionMax="47" xr10:uidLastSave="{00000000-0000-0000-0000-000000000000}"/>
  <bookViews>
    <workbookView xWindow="38280" yWindow="-120" windowWidth="38640" windowHeight="21120" tabRatio="917" firstSheet="5" activeTab="25" xr2:uid="{E47A017C-4C54-4455-A6AA-DA412762FF23}"/>
  </bookViews>
  <sheets>
    <sheet name="rev." sheetId="93" state="hidden" r:id="rId1"/>
    <sheet name="Наценки-Скидки" sheetId="109" r:id="rId2"/>
    <sheet name="Потребление устроиств" sheetId="54" state="hidden" r:id="rId3"/>
    <sheet name="Конфигуратор лицензии" sheetId="105" state="hidden" r:id="rId4"/>
    <sheet name="1" sheetId="121" r:id="rId5"/>
    <sheet name="2" sheetId="122" r:id="rId6"/>
    <sheet name="3" sheetId="123" r:id="rId7"/>
    <sheet name="4" sheetId="124" r:id="rId8"/>
    <sheet name="5" sheetId="125" r:id="rId9"/>
    <sheet name="6" sheetId="126" r:id="rId10"/>
    <sheet name="7" sheetId="127" r:id="rId11"/>
    <sheet name="8" sheetId="128" r:id="rId12"/>
    <sheet name="9" sheetId="129" r:id="rId13"/>
    <sheet name="10" sheetId="130" r:id="rId14"/>
    <sheet name="11" sheetId="136" r:id="rId15"/>
    <sheet name="12" sheetId="137" r:id="rId16"/>
    <sheet name="13" sheetId="138" r:id="rId17"/>
    <sheet name="14" sheetId="139" r:id="rId18"/>
    <sheet name="15" sheetId="140" r:id="rId19"/>
    <sheet name="16" sheetId="141" r:id="rId20"/>
    <sheet name="17" sheetId="142" r:id="rId21"/>
    <sheet name="Spare parts" sheetId="133" r:id="rId22"/>
    <sheet name="SW(w.o.VAT)" sheetId="132" r:id="rId23"/>
    <sheet name="Work" sheetId="104" r:id="rId24"/>
    <sheet name="Сводная спецификация" sheetId="90" r:id="rId25"/>
    <sheet name="Спец_ТКП" sheetId="143" r:id="rId26"/>
    <sheet name="Копия прайса для расчета" sheetId="107" state="hidden" r:id="rId27"/>
    <sheet name="System" sheetId="102" state="hidden" r:id="rId28"/>
  </sheets>
  <definedNames>
    <definedName name="_xlnm._FilterDatabase" localSheetId="24" hidden="1">'Сводная спецификация'!#REF!</definedName>
    <definedName name="_xlnm.Print_Area" localSheetId="23">Work!$A$1:$R$40</definedName>
    <definedName name="_xlnm.Print_Area" localSheetId="2">'Потребление устроиств'!$A$1:$J$144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" i="90" l="1"/>
  <c r="G23" i="90"/>
  <c r="G25" i="90" l="1"/>
  <c r="G22" i="90"/>
  <c r="G21" i="90"/>
  <c r="G26" i="133"/>
  <c r="G27" i="133"/>
  <c r="G28" i="133"/>
  <c r="G29" i="133"/>
  <c r="G30" i="133"/>
  <c r="G31" i="133"/>
  <c r="G32" i="133"/>
  <c r="G33" i="133"/>
  <c r="G34" i="133"/>
  <c r="G35" i="133"/>
  <c r="G36" i="133"/>
  <c r="G37" i="133"/>
  <c r="G38" i="133"/>
  <c r="G39" i="133"/>
  <c r="G40" i="133"/>
  <c r="G41" i="133"/>
  <c r="G42" i="133"/>
  <c r="G43" i="133"/>
  <c r="G44" i="133"/>
  <c r="G25" i="133"/>
  <c r="G20" i="133"/>
  <c r="G19" i="133"/>
  <c r="G4" i="133"/>
  <c r="G5" i="133"/>
  <c r="G6" i="133"/>
  <c r="G7" i="133"/>
  <c r="G8" i="133"/>
  <c r="G9" i="133"/>
  <c r="G10" i="133"/>
  <c r="G11" i="133"/>
  <c r="G12" i="133"/>
  <c r="G13" i="133"/>
  <c r="G14" i="133"/>
  <c r="G3" i="133"/>
  <c r="O47" i="142"/>
  <c r="M47" i="142"/>
  <c r="J47" i="142"/>
  <c r="H47" i="142"/>
  <c r="I47" i="142" s="1"/>
  <c r="K47" i="142" s="1"/>
  <c r="O46" i="142"/>
  <c r="M46" i="142"/>
  <c r="J46" i="142"/>
  <c r="H46" i="142"/>
  <c r="I46" i="142" s="1"/>
  <c r="K46" i="142" s="1"/>
  <c r="O45" i="142"/>
  <c r="M45" i="142"/>
  <c r="J45" i="142"/>
  <c r="H45" i="142"/>
  <c r="I45" i="142" s="1"/>
  <c r="K45" i="142" s="1"/>
  <c r="O44" i="142"/>
  <c r="M44" i="142"/>
  <c r="J44" i="142"/>
  <c r="H44" i="142"/>
  <c r="I44" i="142" s="1"/>
  <c r="K44" i="142" s="1"/>
  <c r="O43" i="142"/>
  <c r="M43" i="142"/>
  <c r="J43" i="142"/>
  <c r="H43" i="142"/>
  <c r="I43" i="142" s="1"/>
  <c r="O42" i="142"/>
  <c r="M42" i="142"/>
  <c r="J42" i="142"/>
  <c r="H42" i="142"/>
  <c r="I42" i="142" s="1"/>
  <c r="O41" i="142"/>
  <c r="M41" i="142"/>
  <c r="H41" i="142" s="1"/>
  <c r="I41" i="142" s="1"/>
  <c r="K41" i="142" s="1"/>
  <c r="J41" i="142"/>
  <c r="O40" i="142"/>
  <c r="M40" i="142"/>
  <c r="H40" i="142" s="1"/>
  <c r="I40" i="142" s="1"/>
  <c r="J40" i="142"/>
  <c r="O47" i="141"/>
  <c r="M47" i="141"/>
  <c r="J47" i="141"/>
  <c r="H47" i="141"/>
  <c r="I47" i="141" s="1"/>
  <c r="K47" i="141" s="1"/>
  <c r="O46" i="141"/>
  <c r="M46" i="141"/>
  <c r="J46" i="141"/>
  <c r="H46" i="141"/>
  <c r="I46" i="141" s="1"/>
  <c r="K46" i="141" s="1"/>
  <c r="O45" i="141"/>
  <c r="M45" i="141"/>
  <c r="H45" i="141" s="1"/>
  <c r="I45" i="141" s="1"/>
  <c r="J45" i="141"/>
  <c r="O44" i="141"/>
  <c r="M44" i="141"/>
  <c r="H44" i="141" s="1"/>
  <c r="I44" i="141" s="1"/>
  <c r="J44" i="141"/>
  <c r="O43" i="141"/>
  <c r="M43" i="141"/>
  <c r="H43" i="141" s="1"/>
  <c r="I43" i="141" s="1"/>
  <c r="J43" i="141"/>
  <c r="O42" i="141"/>
  <c r="M42" i="141"/>
  <c r="H42" i="141" s="1"/>
  <c r="I42" i="141" s="1"/>
  <c r="J42" i="141"/>
  <c r="O41" i="141"/>
  <c r="M41" i="141"/>
  <c r="H41" i="141" s="1"/>
  <c r="I41" i="141" s="1"/>
  <c r="J41" i="141"/>
  <c r="O40" i="141"/>
  <c r="M40" i="141"/>
  <c r="H40" i="141" s="1"/>
  <c r="I40" i="141" s="1"/>
  <c r="J40" i="141"/>
  <c r="O47" i="140"/>
  <c r="M47" i="140"/>
  <c r="J47" i="140"/>
  <c r="H47" i="140"/>
  <c r="I47" i="140" s="1"/>
  <c r="K47" i="140" s="1"/>
  <c r="O46" i="140"/>
  <c r="M46" i="140"/>
  <c r="J46" i="140"/>
  <c r="H46" i="140"/>
  <c r="I46" i="140" s="1"/>
  <c r="K46" i="140" s="1"/>
  <c r="O45" i="140"/>
  <c r="M45" i="140"/>
  <c r="H45" i="140" s="1"/>
  <c r="I45" i="140" s="1"/>
  <c r="J45" i="140"/>
  <c r="O44" i="140"/>
  <c r="M44" i="140"/>
  <c r="H44" i="140" s="1"/>
  <c r="I44" i="140" s="1"/>
  <c r="J44" i="140"/>
  <c r="O43" i="140"/>
  <c r="M43" i="140"/>
  <c r="H43" i="140" s="1"/>
  <c r="I43" i="140" s="1"/>
  <c r="J43" i="140"/>
  <c r="O42" i="140"/>
  <c r="M42" i="140"/>
  <c r="H42" i="140" s="1"/>
  <c r="I42" i="140" s="1"/>
  <c r="J42" i="140"/>
  <c r="O41" i="140"/>
  <c r="M41" i="140"/>
  <c r="J41" i="140"/>
  <c r="H41" i="140"/>
  <c r="I41" i="140" s="1"/>
  <c r="K41" i="140" s="1"/>
  <c r="O40" i="140"/>
  <c r="M40" i="140"/>
  <c r="H40" i="140" s="1"/>
  <c r="I40" i="140" s="1"/>
  <c r="J40" i="140"/>
  <c r="O47" i="139"/>
  <c r="M47" i="139"/>
  <c r="J47" i="139"/>
  <c r="H47" i="139"/>
  <c r="I47" i="139" s="1"/>
  <c r="K47" i="139" s="1"/>
  <c r="O46" i="139"/>
  <c r="M46" i="139"/>
  <c r="H46" i="139" s="1"/>
  <c r="I46" i="139" s="1"/>
  <c r="K46" i="139" s="1"/>
  <c r="J46" i="139"/>
  <c r="O45" i="139"/>
  <c r="M45" i="139"/>
  <c r="J45" i="139"/>
  <c r="H45" i="139"/>
  <c r="I45" i="139" s="1"/>
  <c r="K45" i="139" s="1"/>
  <c r="O44" i="139"/>
  <c r="M44" i="139"/>
  <c r="H44" i="139" s="1"/>
  <c r="I44" i="139" s="1"/>
  <c r="K44" i="139" s="1"/>
  <c r="J44" i="139"/>
  <c r="O43" i="139"/>
  <c r="M43" i="139"/>
  <c r="H43" i="139" s="1"/>
  <c r="I43" i="139" s="1"/>
  <c r="K43" i="139" s="1"/>
  <c r="J43" i="139"/>
  <c r="O42" i="139"/>
  <c r="M42" i="139"/>
  <c r="H42" i="139" s="1"/>
  <c r="I42" i="139" s="1"/>
  <c r="J42" i="139"/>
  <c r="O41" i="139"/>
  <c r="M41" i="139"/>
  <c r="H41" i="139" s="1"/>
  <c r="I41" i="139" s="1"/>
  <c r="J41" i="139"/>
  <c r="O40" i="139"/>
  <c r="M40" i="139"/>
  <c r="H40" i="139" s="1"/>
  <c r="I40" i="139" s="1"/>
  <c r="J40" i="139"/>
  <c r="O47" i="138"/>
  <c r="M47" i="138"/>
  <c r="J47" i="138"/>
  <c r="H47" i="138"/>
  <c r="I47" i="138" s="1"/>
  <c r="K47" i="138" s="1"/>
  <c r="O46" i="138"/>
  <c r="M46" i="138"/>
  <c r="J46" i="138"/>
  <c r="H46" i="138"/>
  <c r="I46" i="138" s="1"/>
  <c r="K46" i="138" s="1"/>
  <c r="O45" i="138"/>
  <c r="M45" i="138"/>
  <c r="J45" i="138"/>
  <c r="H45" i="138"/>
  <c r="I45" i="138" s="1"/>
  <c r="K45" i="138" s="1"/>
  <c r="O44" i="138"/>
  <c r="M44" i="138"/>
  <c r="H44" i="138" s="1"/>
  <c r="I44" i="138" s="1"/>
  <c r="K44" i="138" s="1"/>
  <c r="J44" i="138"/>
  <c r="O43" i="138"/>
  <c r="M43" i="138"/>
  <c r="H43" i="138" s="1"/>
  <c r="I43" i="138" s="1"/>
  <c r="K43" i="138" s="1"/>
  <c r="J43" i="138"/>
  <c r="O42" i="138"/>
  <c r="M42" i="138"/>
  <c r="H42" i="138" s="1"/>
  <c r="I42" i="138" s="1"/>
  <c r="K42" i="138" s="1"/>
  <c r="J42" i="138"/>
  <c r="O41" i="138"/>
  <c r="M41" i="138"/>
  <c r="J41" i="138"/>
  <c r="H41" i="138"/>
  <c r="I41" i="138" s="1"/>
  <c r="K41" i="138" s="1"/>
  <c r="O40" i="138"/>
  <c r="M40" i="138"/>
  <c r="H40" i="138" s="1"/>
  <c r="I40" i="138" s="1"/>
  <c r="K40" i="138" s="1"/>
  <c r="J40" i="138"/>
  <c r="O47" i="137"/>
  <c r="M47" i="137"/>
  <c r="J47" i="137"/>
  <c r="H47" i="137"/>
  <c r="I47" i="137" s="1"/>
  <c r="K47" i="137" s="1"/>
  <c r="O46" i="137"/>
  <c r="M46" i="137"/>
  <c r="J46" i="137"/>
  <c r="H46" i="137"/>
  <c r="I46" i="137" s="1"/>
  <c r="K46" i="137" s="1"/>
  <c r="O45" i="137"/>
  <c r="M45" i="137"/>
  <c r="J45" i="137"/>
  <c r="H45" i="137"/>
  <c r="I45" i="137" s="1"/>
  <c r="K45" i="137" s="1"/>
  <c r="O44" i="137"/>
  <c r="M44" i="137"/>
  <c r="J44" i="137"/>
  <c r="H44" i="137"/>
  <c r="I44" i="137" s="1"/>
  <c r="K44" i="137" s="1"/>
  <c r="O43" i="137"/>
  <c r="M43" i="137"/>
  <c r="J43" i="137"/>
  <c r="H43" i="137"/>
  <c r="I43" i="137" s="1"/>
  <c r="K43" i="137" s="1"/>
  <c r="O42" i="137"/>
  <c r="M42" i="137"/>
  <c r="J42" i="137"/>
  <c r="H42" i="137"/>
  <c r="I42" i="137" s="1"/>
  <c r="K42" i="137" s="1"/>
  <c r="O41" i="137"/>
  <c r="M41" i="137"/>
  <c r="J41" i="137"/>
  <c r="H41" i="137"/>
  <c r="I41" i="137" s="1"/>
  <c r="K41" i="137" s="1"/>
  <c r="O40" i="137"/>
  <c r="M40" i="137"/>
  <c r="J40" i="137"/>
  <c r="H40" i="137"/>
  <c r="I40" i="137" s="1"/>
  <c r="K40" i="137" s="1"/>
  <c r="O47" i="136"/>
  <c r="M47" i="136"/>
  <c r="H47" i="136" s="1"/>
  <c r="I47" i="136" s="1"/>
  <c r="K47" i="136" s="1"/>
  <c r="J47" i="136"/>
  <c r="O46" i="136"/>
  <c r="M46" i="136"/>
  <c r="J46" i="136"/>
  <c r="H46" i="136"/>
  <c r="I46" i="136" s="1"/>
  <c r="K46" i="136" s="1"/>
  <c r="O45" i="136"/>
  <c r="M45" i="136"/>
  <c r="J45" i="136"/>
  <c r="H45" i="136"/>
  <c r="I45" i="136" s="1"/>
  <c r="K45" i="136" s="1"/>
  <c r="O44" i="136"/>
  <c r="M44" i="136"/>
  <c r="H44" i="136" s="1"/>
  <c r="I44" i="136" s="1"/>
  <c r="K44" i="136" s="1"/>
  <c r="J44" i="136"/>
  <c r="O43" i="136"/>
  <c r="M43" i="136"/>
  <c r="J43" i="136"/>
  <c r="H43" i="136"/>
  <c r="I43" i="136" s="1"/>
  <c r="K43" i="136" s="1"/>
  <c r="O42" i="136"/>
  <c r="M42" i="136"/>
  <c r="J42" i="136"/>
  <c r="H42" i="136"/>
  <c r="I42" i="136" s="1"/>
  <c r="K42" i="136" s="1"/>
  <c r="O41" i="136"/>
  <c r="M41" i="136"/>
  <c r="J41" i="136"/>
  <c r="H41" i="136"/>
  <c r="I41" i="136" s="1"/>
  <c r="O40" i="136"/>
  <c r="M40" i="136"/>
  <c r="H40" i="136" s="1"/>
  <c r="I40" i="136" s="1"/>
  <c r="K40" i="136" s="1"/>
  <c r="J40" i="136"/>
  <c r="O47" i="130"/>
  <c r="M47" i="130"/>
  <c r="J47" i="130"/>
  <c r="H47" i="130"/>
  <c r="I47" i="130" s="1"/>
  <c r="K47" i="130" s="1"/>
  <c r="O46" i="130"/>
  <c r="M46" i="130"/>
  <c r="J46" i="130"/>
  <c r="H46" i="130"/>
  <c r="I46" i="130" s="1"/>
  <c r="K46" i="130" s="1"/>
  <c r="O45" i="130"/>
  <c r="M45" i="130"/>
  <c r="H45" i="130" s="1"/>
  <c r="I45" i="130" s="1"/>
  <c r="K45" i="130" s="1"/>
  <c r="J45" i="130"/>
  <c r="O44" i="130"/>
  <c r="M44" i="130"/>
  <c r="H44" i="130" s="1"/>
  <c r="I44" i="130" s="1"/>
  <c r="K44" i="130" s="1"/>
  <c r="J44" i="130"/>
  <c r="O43" i="130"/>
  <c r="M43" i="130"/>
  <c r="H43" i="130" s="1"/>
  <c r="I43" i="130" s="1"/>
  <c r="K43" i="130" s="1"/>
  <c r="J43" i="130"/>
  <c r="O42" i="130"/>
  <c r="M42" i="130"/>
  <c r="H42" i="130" s="1"/>
  <c r="I42" i="130" s="1"/>
  <c r="J42" i="130"/>
  <c r="O41" i="130"/>
  <c r="M41" i="130"/>
  <c r="H41" i="130" s="1"/>
  <c r="I41" i="130" s="1"/>
  <c r="J41" i="130"/>
  <c r="O40" i="130"/>
  <c r="M40" i="130"/>
  <c r="H40" i="130" s="1"/>
  <c r="I40" i="130" s="1"/>
  <c r="J40" i="130"/>
  <c r="O47" i="129"/>
  <c r="M47" i="129"/>
  <c r="J47" i="129"/>
  <c r="H47" i="129"/>
  <c r="I47" i="129" s="1"/>
  <c r="K47" i="129" s="1"/>
  <c r="O46" i="129"/>
  <c r="M46" i="129"/>
  <c r="H46" i="129" s="1"/>
  <c r="I46" i="129" s="1"/>
  <c r="K46" i="129" s="1"/>
  <c r="J46" i="129"/>
  <c r="O45" i="129"/>
  <c r="M45" i="129"/>
  <c r="H45" i="129" s="1"/>
  <c r="I45" i="129" s="1"/>
  <c r="K45" i="129" s="1"/>
  <c r="J45" i="129"/>
  <c r="O44" i="129"/>
  <c r="M44" i="129"/>
  <c r="J44" i="129"/>
  <c r="H44" i="129"/>
  <c r="I44" i="129" s="1"/>
  <c r="K44" i="129" s="1"/>
  <c r="O43" i="129"/>
  <c r="M43" i="129"/>
  <c r="J43" i="129"/>
  <c r="H43" i="129"/>
  <c r="I43" i="129" s="1"/>
  <c r="K43" i="129" s="1"/>
  <c r="O42" i="129"/>
  <c r="M42" i="129"/>
  <c r="J42" i="129"/>
  <c r="H42" i="129"/>
  <c r="I42" i="129" s="1"/>
  <c r="K42" i="129" s="1"/>
  <c r="O41" i="129"/>
  <c r="M41" i="129"/>
  <c r="J41" i="129"/>
  <c r="H41" i="129"/>
  <c r="I41" i="129" s="1"/>
  <c r="O40" i="129"/>
  <c r="M40" i="129"/>
  <c r="H40" i="129" s="1"/>
  <c r="I40" i="129" s="1"/>
  <c r="J40" i="129"/>
  <c r="O47" i="128"/>
  <c r="M47" i="128"/>
  <c r="J47" i="128"/>
  <c r="I47" i="128"/>
  <c r="K47" i="128" s="1"/>
  <c r="H47" i="128"/>
  <c r="O46" i="128"/>
  <c r="M46" i="128"/>
  <c r="J46" i="128"/>
  <c r="H46" i="128"/>
  <c r="I46" i="128" s="1"/>
  <c r="K46" i="128" s="1"/>
  <c r="O45" i="128"/>
  <c r="M45" i="128"/>
  <c r="J45" i="128"/>
  <c r="H45" i="128"/>
  <c r="I45" i="128" s="1"/>
  <c r="K45" i="128" s="1"/>
  <c r="O44" i="128"/>
  <c r="M44" i="128"/>
  <c r="H44" i="128" s="1"/>
  <c r="I44" i="128" s="1"/>
  <c r="J44" i="128"/>
  <c r="O43" i="128"/>
  <c r="M43" i="128"/>
  <c r="H43" i="128" s="1"/>
  <c r="I43" i="128" s="1"/>
  <c r="J43" i="128"/>
  <c r="O42" i="128"/>
  <c r="M42" i="128"/>
  <c r="H42" i="128" s="1"/>
  <c r="I42" i="128" s="1"/>
  <c r="J42" i="128"/>
  <c r="O41" i="128"/>
  <c r="M41" i="128"/>
  <c r="J41" i="128"/>
  <c r="H41" i="128"/>
  <c r="I41" i="128" s="1"/>
  <c r="K41" i="128" s="1"/>
  <c r="O40" i="128"/>
  <c r="M40" i="128"/>
  <c r="H40" i="128" s="1"/>
  <c r="I40" i="128" s="1"/>
  <c r="J40" i="128"/>
  <c r="O47" i="127"/>
  <c r="M47" i="127"/>
  <c r="J47" i="127"/>
  <c r="H47" i="127"/>
  <c r="I47" i="127" s="1"/>
  <c r="K47" i="127" s="1"/>
  <c r="O46" i="127"/>
  <c r="M46" i="127"/>
  <c r="J46" i="127"/>
  <c r="H46" i="127"/>
  <c r="I46" i="127" s="1"/>
  <c r="K46" i="127" s="1"/>
  <c r="O45" i="127"/>
  <c r="M45" i="127"/>
  <c r="J45" i="127"/>
  <c r="H45" i="127"/>
  <c r="I45" i="127" s="1"/>
  <c r="K45" i="127" s="1"/>
  <c r="O44" i="127"/>
  <c r="M44" i="127"/>
  <c r="J44" i="127"/>
  <c r="H44" i="127"/>
  <c r="I44" i="127" s="1"/>
  <c r="K44" i="127" s="1"/>
  <c r="O43" i="127"/>
  <c r="M43" i="127"/>
  <c r="J43" i="127"/>
  <c r="H43" i="127"/>
  <c r="I43" i="127" s="1"/>
  <c r="K43" i="127" s="1"/>
  <c r="O42" i="127"/>
  <c r="M42" i="127"/>
  <c r="J42" i="127"/>
  <c r="H42" i="127"/>
  <c r="I42" i="127" s="1"/>
  <c r="O41" i="127"/>
  <c r="M41" i="127"/>
  <c r="J41" i="127"/>
  <c r="H41" i="127"/>
  <c r="I41" i="127" s="1"/>
  <c r="K41" i="127" s="1"/>
  <c r="O40" i="127"/>
  <c r="M40" i="127"/>
  <c r="H40" i="127" s="1"/>
  <c r="I40" i="127" s="1"/>
  <c r="J40" i="127"/>
  <c r="O47" i="126"/>
  <c r="M47" i="126"/>
  <c r="J47" i="126"/>
  <c r="H47" i="126"/>
  <c r="I47" i="126" s="1"/>
  <c r="K47" i="126" s="1"/>
  <c r="O46" i="126"/>
  <c r="M46" i="126"/>
  <c r="H46" i="126" s="1"/>
  <c r="I46" i="126" s="1"/>
  <c r="K46" i="126" s="1"/>
  <c r="J46" i="126"/>
  <c r="O45" i="126"/>
  <c r="M45" i="126"/>
  <c r="H45" i="126" s="1"/>
  <c r="I45" i="126" s="1"/>
  <c r="J45" i="126"/>
  <c r="O44" i="126"/>
  <c r="M44" i="126"/>
  <c r="H44" i="126" s="1"/>
  <c r="I44" i="126" s="1"/>
  <c r="K44" i="126" s="1"/>
  <c r="J44" i="126"/>
  <c r="O43" i="126"/>
  <c r="M43" i="126"/>
  <c r="H43" i="126" s="1"/>
  <c r="I43" i="126" s="1"/>
  <c r="K43" i="126" s="1"/>
  <c r="J43" i="126"/>
  <c r="O42" i="126"/>
  <c r="M42" i="126"/>
  <c r="J42" i="126"/>
  <c r="H42" i="126"/>
  <c r="I42" i="126" s="1"/>
  <c r="K42" i="126" s="1"/>
  <c r="O41" i="126"/>
  <c r="M41" i="126"/>
  <c r="J41" i="126"/>
  <c r="H41" i="126"/>
  <c r="I41" i="126" s="1"/>
  <c r="K41" i="126" s="1"/>
  <c r="O40" i="126"/>
  <c r="M40" i="126"/>
  <c r="J40" i="126"/>
  <c r="H40" i="126"/>
  <c r="I40" i="126" s="1"/>
  <c r="K40" i="126" s="1"/>
  <c r="O47" i="125"/>
  <c r="M47" i="125"/>
  <c r="J47" i="125"/>
  <c r="H47" i="125"/>
  <c r="I47" i="125" s="1"/>
  <c r="K47" i="125" s="1"/>
  <c r="O46" i="125"/>
  <c r="M46" i="125"/>
  <c r="H46" i="125" s="1"/>
  <c r="I46" i="125" s="1"/>
  <c r="J46" i="125"/>
  <c r="O45" i="125"/>
  <c r="M45" i="125"/>
  <c r="H45" i="125" s="1"/>
  <c r="I45" i="125" s="1"/>
  <c r="J45" i="125"/>
  <c r="O44" i="125"/>
  <c r="M44" i="125"/>
  <c r="J44" i="125"/>
  <c r="H44" i="125"/>
  <c r="I44" i="125" s="1"/>
  <c r="O43" i="125"/>
  <c r="M43" i="125"/>
  <c r="H43" i="125" s="1"/>
  <c r="I43" i="125" s="1"/>
  <c r="K43" i="125" s="1"/>
  <c r="J43" i="125"/>
  <c r="O42" i="125"/>
  <c r="M42" i="125"/>
  <c r="J42" i="125"/>
  <c r="H42" i="125"/>
  <c r="I42" i="125" s="1"/>
  <c r="O41" i="125"/>
  <c r="M41" i="125"/>
  <c r="H41" i="125" s="1"/>
  <c r="I41" i="125" s="1"/>
  <c r="J41" i="125"/>
  <c r="O40" i="125"/>
  <c r="M40" i="125"/>
  <c r="H40" i="125" s="1"/>
  <c r="I40" i="125" s="1"/>
  <c r="J40" i="125"/>
  <c r="O47" i="124"/>
  <c r="M47" i="124"/>
  <c r="J47" i="124"/>
  <c r="H47" i="124"/>
  <c r="I47" i="124" s="1"/>
  <c r="K47" i="124" s="1"/>
  <c r="O46" i="124"/>
  <c r="M46" i="124"/>
  <c r="J46" i="124"/>
  <c r="H46" i="124"/>
  <c r="I46" i="124" s="1"/>
  <c r="K46" i="124" s="1"/>
  <c r="O45" i="124"/>
  <c r="M45" i="124"/>
  <c r="J45" i="124"/>
  <c r="H45" i="124"/>
  <c r="I45" i="124" s="1"/>
  <c r="K45" i="124" s="1"/>
  <c r="O44" i="124"/>
  <c r="M44" i="124"/>
  <c r="J44" i="124"/>
  <c r="H44" i="124"/>
  <c r="I44" i="124" s="1"/>
  <c r="K44" i="124" s="1"/>
  <c r="O43" i="124"/>
  <c r="M43" i="124"/>
  <c r="J43" i="124"/>
  <c r="H43" i="124"/>
  <c r="I43" i="124" s="1"/>
  <c r="K43" i="124" s="1"/>
  <c r="O42" i="124"/>
  <c r="M42" i="124"/>
  <c r="J42" i="124"/>
  <c r="H42" i="124"/>
  <c r="I42" i="124" s="1"/>
  <c r="K42" i="124" s="1"/>
  <c r="O41" i="124"/>
  <c r="M41" i="124"/>
  <c r="H41" i="124" s="1"/>
  <c r="I41" i="124" s="1"/>
  <c r="K41" i="124" s="1"/>
  <c r="J41" i="124"/>
  <c r="O40" i="124"/>
  <c r="M40" i="124"/>
  <c r="H40" i="124" s="1"/>
  <c r="I40" i="124" s="1"/>
  <c r="J40" i="124"/>
  <c r="O47" i="123"/>
  <c r="M47" i="123"/>
  <c r="J47" i="123"/>
  <c r="H47" i="123"/>
  <c r="I47" i="123" s="1"/>
  <c r="K47" i="123" s="1"/>
  <c r="O46" i="123"/>
  <c r="M46" i="123"/>
  <c r="H46" i="123" s="1"/>
  <c r="I46" i="123" s="1"/>
  <c r="K46" i="123" s="1"/>
  <c r="J46" i="123"/>
  <c r="O45" i="123"/>
  <c r="M45" i="123"/>
  <c r="J45" i="123"/>
  <c r="H45" i="123"/>
  <c r="I45" i="123" s="1"/>
  <c r="K45" i="123" s="1"/>
  <c r="O44" i="123"/>
  <c r="M44" i="123"/>
  <c r="H44" i="123" s="1"/>
  <c r="I44" i="123" s="1"/>
  <c r="K44" i="123" s="1"/>
  <c r="J44" i="123"/>
  <c r="O43" i="123"/>
  <c r="M43" i="123"/>
  <c r="J43" i="123"/>
  <c r="H43" i="123"/>
  <c r="I43" i="123" s="1"/>
  <c r="K43" i="123" s="1"/>
  <c r="O42" i="123"/>
  <c r="M42" i="123"/>
  <c r="J42" i="123"/>
  <c r="H42" i="123"/>
  <c r="I42" i="123" s="1"/>
  <c r="K42" i="123" s="1"/>
  <c r="O41" i="123"/>
  <c r="M41" i="123"/>
  <c r="J41" i="123"/>
  <c r="H41" i="123"/>
  <c r="I41" i="123" s="1"/>
  <c r="K41" i="123" s="1"/>
  <c r="O40" i="123"/>
  <c r="M40" i="123"/>
  <c r="H40" i="123" s="1"/>
  <c r="I40" i="123" s="1"/>
  <c r="K40" i="123" s="1"/>
  <c r="J40" i="123"/>
  <c r="H14" i="122"/>
  <c r="K43" i="142" l="1"/>
  <c r="K42" i="142"/>
  <c r="K40" i="142"/>
  <c r="K45" i="141"/>
  <c r="K42" i="141"/>
  <c r="K44" i="141"/>
  <c r="K41" i="141"/>
  <c r="K43" i="141"/>
  <c r="K40" i="141"/>
  <c r="K42" i="140"/>
  <c r="K43" i="140"/>
  <c r="K45" i="140"/>
  <c r="K44" i="140"/>
  <c r="K40" i="140"/>
  <c r="K40" i="139"/>
  <c r="K41" i="139"/>
  <c r="K42" i="139"/>
  <c r="K41" i="136"/>
  <c r="K41" i="130"/>
  <c r="K40" i="130"/>
  <c r="K42" i="130"/>
  <c r="K41" i="129"/>
  <c r="K40" i="129"/>
  <c r="K43" i="128"/>
  <c r="K42" i="128"/>
  <c r="K40" i="128"/>
  <c r="K44" i="128"/>
  <c r="K42" i="127"/>
  <c r="K40" i="127"/>
  <c r="K45" i="126"/>
  <c r="K45" i="125"/>
  <c r="K41" i="125"/>
  <c r="K42" i="125"/>
  <c r="K46" i="125"/>
  <c r="K44" i="125"/>
  <c r="K40" i="125"/>
  <c r="K40" i="124"/>
  <c r="H14" i="121" l="1"/>
  <c r="O47" i="122"/>
  <c r="M47" i="122"/>
  <c r="H47" i="122" s="1"/>
  <c r="I47" i="122" s="1"/>
  <c r="J47" i="122"/>
  <c r="O46" i="122"/>
  <c r="M46" i="122"/>
  <c r="H46" i="122" s="1"/>
  <c r="I46" i="122" s="1"/>
  <c r="J46" i="122"/>
  <c r="O45" i="122"/>
  <c r="M45" i="122"/>
  <c r="H45" i="122" s="1"/>
  <c r="I45" i="122" s="1"/>
  <c r="J45" i="122"/>
  <c r="O44" i="122"/>
  <c r="M44" i="122"/>
  <c r="J44" i="122"/>
  <c r="H44" i="122"/>
  <c r="I44" i="122" s="1"/>
  <c r="K44" i="122" s="1"/>
  <c r="O43" i="122"/>
  <c r="M43" i="122"/>
  <c r="H43" i="122" s="1"/>
  <c r="I43" i="122" s="1"/>
  <c r="K43" i="122" s="1"/>
  <c r="J43" i="122"/>
  <c r="O42" i="122"/>
  <c r="M42" i="122"/>
  <c r="H42" i="122" s="1"/>
  <c r="I42" i="122" s="1"/>
  <c r="J42" i="122"/>
  <c r="O41" i="122"/>
  <c r="M41" i="122"/>
  <c r="H41" i="122" s="1"/>
  <c r="I41" i="122" s="1"/>
  <c r="J41" i="122"/>
  <c r="O40" i="122"/>
  <c r="M40" i="122"/>
  <c r="J40" i="122"/>
  <c r="H40" i="122"/>
  <c r="I40" i="122" s="1"/>
  <c r="K40" i="122" s="1"/>
  <c r="O47" i="121"/>
  <c r="M47" i="121"/>
  <c r="H47" i="121" s="1"/>
  <c r="I47" i="121" s="1"/>
  <c r="J47" i="121"/>
  <c r="O46" i="121"/>
  <c r="M46" i="121"/>
  <c r="H46" i="121" s="1"/>
  <c r="I46" i="121" s="1"/>
  <c r="J46" i="121"/>
  <c r="O45" i="121"/>
  <c r="M45" i="121"/>
  <c r="H45" i="121" s="1"/>
  <c r="I45" i="121" s="1"/>
  <c r="K45" i="121" s="1"/>
  <c r="J45" i="121"/>
  <c r="O44" i="121"/>
  <c r="M44" i="121"/>
  <c r="H44" i="121" s="1"/>
  <c r="I44" i="121" s="1"/>
  <c r="K44" i="121" s="1"/>
  <c r="J44" i="121"/>
  <c r="O43" i="121"/>
  <c r="M43" i="121"/>
  <c r="H43" i="121" s="1"/>
  <c r="I43" i="121" s="1"/>
  <c r="J43" i="121"/>
  <c r="O42" i="121"/>
  <c r="M42" i="121"/>
  <c r="H42" i="121" s="1"/>
  <c r="I42" i="121" s="1"/>
  <c r="J42" i="121"/>
  <c r="O41" i="121"/>
  <c r="M41" i="121"/>
  <c r="H41" i="121" s="1"/>
  <c r="I41" i="121" s="1"/>
  <c r="J41" i="121"/>
  <c r="O40" i="121"/>
  <c r="M40" i="121"/>
  <c r="H40" i="121" s="1"/>
  <c r="I40" i="121" s="1"/>
  <c r="J40" i="121"/>
  <c r="K46" i="121" l="1"/>
  <c r="K47" i="121"/>
  <c r="K42" i="122"/>
  <c r="K45" i="122"/>
  <c r="K46" i="122"/>
  <c r="K41" i="122"/>
  <c r="K47" i="122"/>
  <c r="K41" i="121"/>
  <c r="K43" i="121"/>
  <c r="K42" i="121"/>
  <c r="K40" i="121"/>
  <c r="O39" i="142" l="1"/>
  <c r="M39" i="142"/>
  <c r="J39" i="142"/>
  <c r="H39" i="142"/>
  <c r="I39" i="142" s="1"/>
  <c r="K39" i="142" s="1"/>
  <c r="O38" i="142"/>
  <c r="M38" i="142"/>
  <c r="H38" i="142" s="1"/>
  <c r="I38" i="142" s="1"/>
  <c r="J38" i="142"/>
  <c r="O37" i="142"/>
  <c r="M37" i="142"/>
  <c r="H37" i="142" s="1"/>
  <c r="I37" i="142" s="1"/>
  <c r="J37" i="142"/>
  <c r="O36" i="142"/>
  <c r="M36" i="142"/>
  <c r="H36" i="142" s="1"/>
  <c r="I36" i="142" s="1"/>
  <c r="J36" i="142"/>
  <c r="O35" i="142"/>
  <c r="M35" i="142"/>
  <c r="H35" i="142" s="1"/>
  <c r="I35" i="142" s="1"/>
  <c r="J35" i="142"/>
  <c r="O34" i="142"/>
  <c r="M34" i="142"/>
  <c r="J34" i="142"/>
  <c r="H34" i="142"/>
  <c r="I34" i="142" s="1"/>
  <c r="K34" i="142" s="1"/>
  <c r="O33" i="142"/>
  <c r="M33" i="142"/>
  <c r="H33" i="142" s="1"/>
  <c r="I33" i="142" s="1"/>
  <c r="J33" i="142"/>
  <c r="O32" i="142"/>
  <c r="M32" i="142"/>
  <c r="J32" i="142"/>
  <c r="H32" i="142"/>
  <c r="I32" i="142" s="1"/>
  <c r="K32" i="142" s="1"/>
  <c r="O31" i="142"/>
  <c r="M31" i="142"/>
  <c r="H31" i="142" s="1"/>
  <c r="I31" i="142" s="1"/>
  <c r="J31" i="142"/>
  <c r="O30" i="142"/>
  <c r="M30" i="142"/>
  <c r="H30" i="142" s="1"/>
  <c r="I30" i="142" s="1"/>
  <c r="J30" i="142"/>
  <c r="O29" i="142"/>
  <c r="M29" i="142"/>
  <c r="H29" i="142" s="1"/>
  <c r="I29" i="142" s="1"/>
  <c r="J29" i="142"/>
  <c r="O28" i="142"/>
  <c r="M28" i="142"/>
  <c r="H28" i="142" s="1"/>
  <c r="I28" i="142" s="1"/>
  <c r="J28" i="142"/>
  <c r="O27" i="142"/>
  <c r="M27" i="142"/>
  <c r="J27" i="142"/>
  <c r="H27" i="142"/>
  <c r="I27" i="142" s="1"/>
  <c r="K27" i="142" s="1"/>
  <c r="O26" i="142"/>
  <c r="M26" i="142"/>
  <c r="J26" i="142"/>
  <c r="H26" i="142"/>
  <c r="I26" i="142" s="1"/>
  <c r="K26" i="142" s="1"/>
  <c r="O25" i="142"/>
  <c r="M25" i="142"/>
  <c r="J25" i="142"/>
  <c r="H25" i="142"/>
  <c r="I25" i="142" s="1"/>
  <c r="K25" i="142" s="1"/>
  <c r="O24" i="142"/>
  <c r="M24" i="142"/>
  <c r="H24" i="142" s="1"/>
  <c r="I24" i="142" s="1"/>
  <c r="J24" i="142"/>
  <c r="O23" i="142"/>
  <c r="M23" i="142"/>
  <c r="H23" i="142" s="1"/>
  <c r="I23" i="142" s="1"/>
  <c r="K23" i="142" s="1"/>
  <c r="J23" i="142"/>
  <c r="O22" i="142"/>
  <c r="M22" i="142"/>
  <c r="H22" i="142" s="1"/>
  <c r="I22" i="142" s="1"/>
  <c r="J22" i="142"/>
  <c r="B22" i="142"/>
  <c r="B23" i="142" s="1"/>
  <c r="B24" i="142" s="1"/>
  <c r="B25" i="142" s="1"/>
  <c r="B26" i="142" s="1"/>
  <c r="B27" i="142" s="1"/>
  <c r="B28" i="142" s="1"/>
  <c r="B29" i="142" s="1"/>
  <c r="B30" i="142" s="1"/>
  <c r="B31" i="142" s="1"/>
  <c r="B32" i="142" s="1"/>
  <c r="B33" i="142" s="1"/>
  <c r="B34" i="142" s="1"/>
  <c r="B35" i="142" s="1"/>
  <c r="B36" i="142" s="1"/>
  <c r="B37" i="142" s="1"/>
  <c r="B38" i="142" s="1"/>
  <c r="B39" i="142" s="1"/>
  <c r="B40" i="142" s="1"/>
  <c r="B41" i="142" s="1"/>
  <c r="B42" i="142" s="1"/>
  <c r="B43" i="142" s="1"/>
  <c r="B44" i="142" s="1"/>
  <c r="B45" i="142" s="1"/>
  <c r="B46" i="142" s="1"/>
  <c r="B47" i="142" s="1"/>
  <c r="O21" i="142"/>
  <c r="M21" i="142"/>
  <c r="H21" i="142" s="1"/>
  <c r="I21" i="142" s="1"/>
  <c r="J21" i="142"/>
  <c r="B21" i="142"/>
  <c r="O20" i="142"/>
  <c r="M20" i="142"/>
  <c r="H20" i="142" s="1"/>
  <c r="I20" i="142" s="1"/>
  <c r="J20" i="142"/>
  <c r="O15" i="142"/>
  <c r="J15" i="142"/>
  <c r="H15" i="142"/>
  <c r="I15" i="142" s="1"/>
  <c r="B15" i="142"/>
  <c r="O14" i="142"/>
  <c r="O16" i="142" s="1"/>
  <c r="J14" i="142"/>
  <c r="J16" i="142" s="1"/>
  <c r="H14" i="142"/>
  <c r="I14" i="142" s="1"/>
  <c r="N9" i="142"/>
  <c r="O9" i="142" s="1"/>
  <c r="J9" i="142"/>
  <c r="H9" i="142"/>
  <c r="I9" i="142" s="1"/>
  <c r="C9" i="142"/>
  <c r="B9" i="142"/>
  <c r="N8" i="142"/>
  <c r="O8" i="142" s="1"/>
  <c r="J8" i="142"/>
  <c r="H8" i="142"/>
  <c r="I8" i="142" s="1"/>
  <c r="C8" i="142"/>
  <c r="B8" i="142"/>
  <c r="N7" i="142"/>
  <c r="O7" i="142" s="1"/>
  <c r="J7" i="142"/>
  <c r="H7" i="142"/>
  <c r="I7" i="142" s="1"/>
  <c r="C7" i="142"/>
  <c r="B7" i="142"/>
  <c r="N6" i="142"/>
  <c r="O6" i="142" s="1"/>
  <c r="J6" i="142"/>
  <c r="H6" i="142"/>
  <c r="I6" i="142" s="1"/>
  <c r="C6" i="142"/>
  <c r="B6" i="142"/>
  <c r="N5" i="142"/>
  <c r="O5" i="142" s="1"/>
  <c r="J5" i="142"/>
  <c r="H5" i="142"/>
  <c r="I5" i="142" s="1"/>
  <c r="K5" i="142" s="1"/>
  <c r="C5" i="142"/>
  <c r="B5" i="142"/>
  <c r="N4" i="142"/>
  <c r="O4" i="142" s="1"/>
  <c r="J4" i="142"/>
  <c r="H4" i="142"/>
  <c r="I4" i="142" s="1"/>
  <c r="C4" i="142"/>
  <c r="B4" i="142"/>
  <c r="N3" i="142"/>
  <c r="O3" i="142" s="1"/>
  <c r="J3" i="142"/>
  <c r="H3" i="142"/>
  <c r="I3" i="142" s="1"/>
  <c r="K3" i="142" s="1"/>
  <c r="C3" i="142"/>
  <c r="B3" i="142"/>
  <c r="H1" i="142"/>
  <c r="O39" i="141"/>
  <c r="M39" i="141"/>
  <c r="H39" i="141" s="1"/>
  <c r="I39" i="141" s="1"/>
  <c r="J39" i="141"/>
  <c r="O38" i="141"/>
  <c r="M38" i="141"/>
  <c r="H38" i="141" s="1"/>
  <c r="I38" i="141" s="1"/>
  <c r="K38" i="141" s="1"/>
  <c r="J38" i="141"/>
  <c r="O37" i="141"/>
  <c r="M37" i="141"/>
  <c r="H37" i="141" s="1"/>
  <c r="I37" i="141" s="1"/>
  <c r="J37" i="141"/>
  <c r="O36" i="141"/>
  <c r="M36" i="141"/>
  <c r="H36" i="141" s="1"/>
  <c r="I36" i="141" s="1"/>
  <c r="J36" i="141"/>
  <c r="O35" i="141"/>
  <c r="M35" i="141"/>
  <c r="H35" i="141" s="1"/>
  <c r="I35" i="141" s="1"/>
  <c r="J35" i="141"/>
  <c r="O34" i="141"/>
  <c r="M34" i="141"/>
  <c r="H34" i="141" s="1"/>
  <c r="I34" i="141" s="1"/>
  <c r="J34" i="141"/>
  <c r="O33" i="141"/>
  <c r="M33" i="141"/>
  <c r="H33" i="141" s="1"/>
  <c r="I33" i="141" s="1"/>
  <c r="K33" i="141" s="1"/>
  <c r="J33" i="141"/>
  <c r="O32" i="141"/>
  <c r="M32" i="141"/>
  <c r="J32" i="141"/>
  <c r="H32" i="141"/>
  <c r="I32" i="141" s="1"/>
  <c r="K32" i="141" s="1"/>
  <c r="O31" i="141"/>
  <c r="M31" i="141"/>
  <c r="H31" i="141" s="1"/>
  <c r="I31" i="141" s="1"/>
  <c r="J31" i="141"/>
  <c r="O30" i="141"/>
  <c r="M30" i="141"/>
  <c r="H30" i="141" s="1"/>
  <c r="I30" i="141" s="1"/>
  <c r="J30" i="141"/>
  <c r="O29" i="141"/>
  <c r="M29" i="141"/>
  <c r="H29" i="141" s="1"/>
  <c r="I29" i="141" s="1"/>
  <c r="J29" i="141"/>
  <c r="O28" i="141"/>
  <c r="M28" i="141"/>
  <c r="H28" i="141" s="1"/>
  <c r="I28" i="141" s="1"/>
  <c r="J28" i="141"/>
  <c r="O27" i="141"/>
  <c r="M27" i="141"/>
  <c r="H27" i="141" s="1"/>
  <c r="I27" i="141" s="1"/>
  <c r="J27" i="141"/>
  <c r="O26" i="141"/>
  <c r="M26" i="141"/>
  <c r="H26" i="141" s="1"/>
  <c r="I26" i="141" s="1"/>
  <c r="J26" i="141"/>
  <c r="O25" i="141"/>
  <c r="M25" i="141"/>
  <c r="H25" i="141" s="1"/>
  <c r="I25" i="141" s="1"/>
  <c r="J25" i="141"/>
  <c r="O24" i="141"/>
  <c r="M24" i="141"/>
  <c r="H24" i="141" s="1"/>
  <c r="I24" i="141" s="1"/>
  <c r="J24" i="141"/>
  <c r="O23" i="141"/>
  <c r="M23" i="141"/>
  <c r="H23" i="141" s="1"/>
  <c r="I23" i="141" s="1"/>
  <c r="J23" i="141"/>
  <c r="O22" i="141"/>
  <c r="M22" i="141"/>
  <c r="H22" i="141" s="1"/>
  <c r="I22" i="141" s="1"/>
  <c r="J22" i="141"/>
  <c r="O21" i="141"/>
  <c r="M21" i="141"/>
  <c r="H21" i="141" s="1"/>
  <c r="I21" i="141" s="1"/>
  <c r="J21" i="141"/>
  <c r="B21" i="141"/>
  <c r="B22" i="141" s="1"/>
  <c r="B23" i="141" s="1"/>
  <c r="B24" i="141" s="1"/>
  <c r="B25" i="141" s="1"/>
  <c r="B26" i="141" s="1"/>
  <c r="B27" i="141" s="1"/>
  <c r="B28" i="141" s="1"/>
  <c r="B29" i="141" s="1"/>
  <c r="B30" i="141" s="1"/>
  <c r="B31" i="141" s="1"/>
  <c r="B32" i="141" s="1"/>
  <c r="B33" i="141" s="1"/>
  <c r="B34" i="141" s="1"/>
  <c r="B35" i="141" s="1"/>
  <c r="B36" i="141" s="1"/>
  <c r="B37" i="141" s="1"/>
  <c r="B38" i="141" s="1"/>
  <c r="B39" i="141" s="1"/>
  <c r="B40" i="141" s="1"/>
  <c r="B41" i="141" s="1"/>
  <c r="B42" i="141" s="1"/>
  <c r="B43" i="141" s="1"/>
  <c r="B44" i="141" s="1"/>
  <c r="B45" i="141" s="1"/>
  <c r="B46" i="141" s="1"/>
  <c r="B47" i="141" s="1"/>
  <c r="O20" i="141"/>
  <c r="M20" i="141"/>
  <c r="H20" i="141" s="1"/>
  <c r="I20" i="141" s="1"/>
  <c r="J20" i="141"/>
  <c r="O15" i="141"/>
  <c r="J15" i="141"/>
  <c r="H15" i="141"/>
  <c r="I15" i="141" s="1"/>
  <c r="B15" i="141"/>
  <c r="O14" i="141"/>
  <c r="J14" i="141"/>
  <c r="H14" i="141"/>
  <c r="I14" i="141" s="1"/>
  <c r="N9" i="141"/>
  <c r="O9" i="141" s="1"/>
  <c r="J9" i="141"/>
  <c r="H9" i="141"/>
  <c r="I9" i="141" s="1"/>
  <c r="K9" i="141" s="1"/>
  <c r="C9" i="141"/>
  <c r="B9" i="141"/>
  <c r="N8" i="141"/>
  <c r="O8" i="141" s="1"/>
  <c r="J8" i="141"/>
  <c r="H8" i="141"/>
  <c r="I8" i="141" s="1"/>
  <c r="C8" i="141"/>
  <c r="B8" i="141"/>
  <c r="N7" i="141"/>
  <c r="O7" i="141" s="1"/>
  <c r="J7" i="141"/>
  <c r="H7" i="141"/>
  <c r="I7" i="141" s="1"/>
  <c r="K7" i="141" s="1"/>
  <c r="C7" i="141"/>
  <c r="B7" i="141"/>
  <c r="N6" i="141"/>
  <c r="O6" i="141" s="1"/>
  <c r="J6" i="141"/>
  <c r="H6" i="141"/>
  <c r="I6" i="141" s="1"/>
  <c r="C6" i="141"/>
  <c r="B6" i="141"/>
  <c r="N5" i="141"/>
  <c r="O5" i="141" s="1"/>
  <c r="J5" i="141"/>
  <c r="H5" i="141"/>
  <c r="I5" i="141" s="1"/>
  <c r="C5" i="141"/>
  <c r="B5" i="141"/>
  <c r="N4" i="141"/>
  <c r="O4" i="141" s="1"/>
  <c r="J4" i="141"/>
  <c r="H4" i="141"/>
  <c r="I4" i="141" s="1"/>
  <c r="C4" i="141"/>
  <c r="B4" i="141"/>
  <c r="N3" i="141"/>
  <c r="O3" i="141" s="1"/>
  <c r="J3" i="141"/>
  <c r="H3" i="141"/>
  <c r="I3" i="141" s="1"/>
  <c r="C3" i="141"/>
  <c r="B3" i="141"/>
  <c r="H1" i="141"/>
  <c r="O39" i="140"/>
  <c r="M39" i="140"/>
  <c r="H39" i="140" s="1"/>
  <c r="I39" i="140" s="1"/>
  <c r="J39" i="140"/>
  <c r="O38" i="140"/>
  <c r="M38" i="140"/>
  <c r="H38" i="140" s="1"/>
  <c r="I38" i="140" s="1"/>
  <c r="J38" i="140"/>
  <c r="O37" i="140"/>
  <c r="M37" i="140"/>
  <c r="H37" i="140" s="1"/>
  <c r="I37" i="140" s="1"/>
  <c r="J37" i="140"/>
  <c r="O36" i="140"/>
  <c r="M36" i="140"/>
  <c r="H36" i="140" s="1"/>
  <c r="I36" i="140" s="1"/>
  <c r="J36" i="140"/>
  <c r="O35" i="140"/>
  <c r="M35" i="140"/>
  <c r="H35" i="140" s="1"/>
  <c r="I35" i="140" s="1"/>
  <c r="J35" i="140"/>
  <c r="O34" i="140"/>
  <c r="M34" i="140"/>
  <c r="H34" i="140" s="1"/>
  <c r="I34" i="140" s="1"/>
  <c r="J34" i="140"/>
  <c r="O33" i="140"/>
  <c r="M33" i="140"/>
  <c r="H33" i="140" s="1"/>
  <c r="I33" i="140" s="1"/>
  <c r="J33" i="140"/>
  <c r="O32" i="140"/>
  <c r="M32" i="140"/>
  <c r="H32" i="140" s="1"/>
  <c r="I32" i="140" s="1"/>
  <c r="J32" i="140"/>
  <c r="O31" i="140"/>
  <c r="M31" i="140"/>
  <c r="H31" i="140" s="1"/>
  <c r="I31" i="140" s="1"/>
  <c r="J31" i="140"/>
  <c r="O30" i="140"/>
  <c r="M30" i="140"/>
  <c r="H30" i="140" s="1"/>
  <c r="I30" i="140" s="1"/>
  <c r="J30" i="140"/>
  <c r="O29" i="140"/>
  <c r="M29" i="140"/>
  <c r="H29" i="140" s="1"/>
  <c r="I29" i="140" s="1"/>
  <c r="J29" i="140"/>
  <c r="O28" i="140"/>
  <c r="M28" i="140"/>
  <c r="H28" i="140" s="1"/>
  <c r="I28" i="140" s="1"/>
  <c r="J28" i="140"/>
  <c r="O27" i="140"/>
  <c r="M27" i="140"/>
  <c r="H27" i="140" s="1"/>
  <c r="I27" i="140" s="1"/>
  <c r="J27" i="140"/>
  <c r="O26" i="140"/>
  <c r="M26" i="140"/>
  <c r="H26" i="140" s="1"/>
  <c r="I26" i="140" s="1"/>
  <c r="J26" i="140"/>
  <c r="O25" i="140"/>
  <c r="M25" i="140"/>
  <c r="H25" i="140" s="1"/>
  <c r="I25" i="140" s="1"/>
  <c r="J25" i="140"/>
  <c r="O24" i="140"/>
  <c r="M24" i="140"/>
  <c r="H24" i="140" s="1"/>
  <c r="I24" i="140" s="1"/>
  <c r="J24" i="140"/>
  <c r="O23" i="140"/>
  <c r="M23" i="140"/>
  <c r="H23" i="140" s="1"/>
  <c r="I23" i="140" s="1"/>
  <c r="J23" i="140"/>
  <c r="O22" i="140"/>
  <c r="M22" i="140"/>
  <c r="H22" i="140" s="1"/>
  <c r="I22" i="140" s="1"/>
  <c r="J22" i="140"/>
  <c r="O21" i="140"/>
  <c r="M21" i="140"/>
  <c r="H21" i="140" s="1"/>
  <c r="I21" i="140" s="1"/>
  <c r="J21" i="140"/>
  <c r="B21" i="140"/>
  <c r="B22" i="140" s="1"/>
  <c r="B23" i="140" s="1"/>
  <c r="B24" i="140" s="1"/>
  <c r="B25" i="140" s="1"/>
  <c r="B26" i="140" s="1"/>
  <c r="B27" i="140" s="1"/>
  <c r="B28" i="140" s="1"/>
  <c r="B29" i="140" s="1"/>
  <c r="B30" i="140" s="1"/>
  <c r="B31" i="140" s="1"/>
  <c r="B32" i="140" s="1"/>
  <c r="B33" i="140" s="1"/>
  <c r="B34" i="140" s="1"/>
  <c r="B35" i="140" s="1"/>
  <c r="B36" i="140" s="1"/>
  <c r="B37" i="140" s="1"/>
  <c r="B38" i="140" s="1"/>
  <c r="B39" i="140" s="1"/>
  <c r="B40" i="140" s="1"/>
  <c r="B41" i="140" s="1"/>
  <c r="B42" i="140" s="1"/>
  <c r="B43" i="140" s="1"/>
  <c r="B44" i="140" s="1"/>
  <c r="B45" i="140" s="1"/>
  <c r="B46" i="140" s="1"/>
  <c r="B47" i="140" s="1"/>
  <c r="O20" i="140"/>
  <c r="M20" i="140"/>
  <c r="H20" i="140" s="1"/>
  <c r="I20" i="140" s="1"/>
  <c r="J20" i="140"/>
  <c r="O15" i="140"/>
  <c r="J15" i="140"/>
  <c r="H15" i="140"/>
  <c r="I15" i="140" s="1"/>
  <c r="B15" i="140"/>
  <c r="O14" i="140"/>
  <c r="J14" i="140"/>
  <c r="H14" i="140"/>
  <c r="I14" i="140" s="1"/>
  <c r="N9" i="140"/>
  <c r="O9" i="140" s="1"/>
  <c r="J9" i="140"/>
  <c r="H9" i="140"/>
  <c r="I9" i="140" s="1"/>
  <c r="C9" i="140"/>
  <c r="B9" i="140"/>
  <c r="N8" i="140"/>
  <c r="O8" i="140" s="1"/>
  <c r="J8" i="140"/>
  <c r="H8" i="140"/>
  <c r="I8" i="140" s="1"/>
  <c r="C8" i="140"/>
  <c r="B8" i="140"/>
  <c r="N7" i="140"/>
  <c r="O7" i="140" s="1"/>
  <c r="J7" i="140"/>
  <c r="H7" i="140"/>
  <c r="I7" i="140" s="1"/>
  <c r="C7" i="140"/>
  <c r="B7" i="140"/>
  <c r="N6" i="140"/>
  <c r="O6" i="140" s="1"/>
  <c r="J6" i="140"/>
  <c r="H6" i="140"/>
  <c r="I6" i="140" s="1"/>
  <c r="C6" i="140"/>
  <c r="B6" i="140"/>
  <c r="N5" i="140"/>
  <c r="O5" i="140" s="1"/>
  <c r="J5" i="140"/>
  <c r="H5" i="140"/>
  <c r="I5" i="140" s="1"/>
  <c r="K5" i="140" s="1"/>
  <c r="C5" i="140"/>
  <c r="B5" i="140"/>
  <c r="N4" i="140"/>
  <c r="O4" i="140" s="1"/>
  <c r="J4" i="140"/>
  <c r="H4" i="140"/>
  <c r="I4" i="140" s="1"/>
  <c r="C4" i="140"/>
  <c r="B4" i="140"/>
  <c r="N3" i="140"/>
  <c r="O3" i="140" s="1"/>
  <c r="J3" i="140"/>
  <c r="H3" i="140"/>
  <c r="I3" i="140" s="1"/>
  <c r="C3" i="140"/>
  <c r="B3" i="140"/>
  <c r="H1" i="140"/>
  <c r="O39" i="139"/>
  <c r="M39" i="139"/>
  <c r="H39" i="139" s="1"/>
  <c r="I39" i="139" s="1"/>
  <c r="J39" i="139"/>
  <c r="O38" i="139"/>
  <c r="M38" i="139"/>
  <c r="H38" i="139" s="1"/>
  <c r="I38" i="139" s="1"/>
  <c r="K38" i="139" s="1"/>
  <c r="J38" i="139"/>
  <c r="O37" i="139"/>
  <c r="M37" i="139"/>
  <c r="H37" i="139" s="1"/>
  <c r="I37" i="139" s="1"/>
  <c r="J37" i="139"/>
  <c r="O36" i="139"/>
  <c r="M36" i="139"/>
  <c r="J36" i="139"/>
  <c r="H36" i="139"/>
  <c r="I36" i="139" s="1"/>
  <c r="O35" i="139"/>
  <c r="M35" i="139"/>
  <c r="H35" i="139" s="1"/>
  <c r="I35" i="139" s="1"/>
  <c r="J35" i="139"/>
  <c r="O34" i="139"/>
  <c r="M34" i="139"/>
  <c r="H34" i="139" s="1"/>
  <c r="I34" i="139" s="1"/>
  <c r="J34" i="139"/>
  <c r="O33" i="139"/>
  <c r="M33" i="139"/>
  <c r="H33" i="139" s="1"/>
  <c r="I33" i="139" s="1"/>
  <c r="K33" i="139" s="1"/>
  <c r="J33" i="139"/>
  <c r="O32" i="139"/>
  <c r="M32" i="139"/>
  <c r="H32" i="139" s="1"/>
  <c r="I32" i="139" s="1"/>
  <c r="J32" i="139"/>
  <c r="O31" i="139"/>
  <c r="M31" i="139"/>
  <c r="J31" i="139"/>
  <c r="H31" i="139"/>
  <c r="I31" i="139" s="1"/>
  <c r="K31" i="139" s="1"/>
  <c r="O30" i="139"/>
  <c r="M30" i="139"/>
  <c r="H30" i="139" s="1"/>
  <c r="I30" i="139" s="1"/>
  <c r="J30" i="139"/>
  <c r="O29" i="139"/>
  <c r="M29" i="139"/>
  <c r="H29" i="139" s="1"/>
  <c r="I29" i="139" s="1"/>
  <c r="J29" i="139"/>
  <c r="O28" i="139"/>
  <c r="M28" i="139"/>
  <c r="H28" i="139" s="1"/>
  <c r="I28" i="139" s="1"/>
  <c r="J28" i="139"/>
  <c r="O27" i="139"/>
  <c r="M27" i="139"/>
  <c r="J27" i="139"/>
  <c r="H27" i="139"/>
  <c r="I27" i="139" s="1"/>
  <c r="O26" i="139"/>
  <c r="M26" i="139"/>
  <c r="H26" i="139" s="1"/>
  <c r="I26" i="139" s="1"/>
  <c r="J26" i="139"/>
  <c r="O25" i="139"/>
  <c r="M25" i="139"/>
  <c r="H25" i="139" s="1"/>
  <c r="I25" i="139" s="1"/>
  <c r="J25" i="139"/>
  <c r="O24" i="139"/>
  <c r="M24" i="139"/>
  <c r="H24" i="139" s="1"/>
  <c r="I24" i="139" s="1"/>
  <c r="J24" i="139"/>
  <c r="O23" i="139"/>
  <c r="M23" i="139"/>
  <c r="H23" i="139" s="1"/>
  <c r="I23" i="139" s="1"/>
  <c r="K23" i="139" s="1"/>
  <c r="J23" i="139"/>
  <c r="O22" i="139"/>
  <c r="M22" i="139"/>
  <c r="J22" i="139"/>
  <c r="H22" i="139"/>
  <c r="I22" i="139" s="1"/>
  <c r="K22" i="139" s="1"/>
  <c r="O21" i="139"/>
  <c r="M21" i="139"/>
  <c r="H21" i="139" s="1"/>
  <c r="I21" i="139" s="1"/>
  <c r="J21" i="139"/>
  <c r="B21" i="139"/>
  <c r="B22" i="139" s="1"/>
  <c r="B23" i="139" s="1"/>
  <c r="B24" i="139" s="1"/>
  <c r="B25" i="139" s="1"/>
  <c r="B26" i="139" s="1"/>
  <c r="B27" i="139" s="1"/>
  <c r="B28" i="139" s="1"/>
  <c r="B29" i="139" s="1"/>
  <c r="B30" i="139" s="1"/>
  <c r="B31" i="139" s="1"/>
  <c r="B32" i="139" s="1"/>
  <c r="B33" i="139" s="1"/>
  <c r="B34" i="139" s="1"/>
  <c r="B35" i="139" s="1"/>
  <c r="B36" i="139" s="1"/>
  <c r="B37" i="139" s="1"/>
  <c r="B38" i="139" s="1"/>
  <c r="B39" i="139" s="1"/>
  <c r="B40" i="139" s="1"/>
  <c r="B41" i="139" s="1"/>
  <c r="B42" i="139" s="1"/>
  <c r="B43" i="139" s="1"/>
  <c r="B44" i="139" s="1"/>
  <c r="B45" i="139" s="1"/>
  <c r="B46" i="139" s="1"/>
  <c r="B47" i="139" s="1"/>
  <c r="O20" i="139"/>
  <c r="M20" i="139"/>
  <c r="J20" i="139"/>
  <c r="H20" i="139"/>
  <c r="I20" i="139" s="1"/>
  <c r="O15" i="139"/>
  <c r="J15" i="139"/>
  <c r="H15" i="139"/>
  <c r="I15" i="139" s="1"/>
  <c r="B15" i="139"/>
  <c r="O14" i="139"/>
  <c r="J14" i="139"/>
  <c r="H14" i="139"/>
  <c r="I14" i="139" s="1"/>
  <c r="N9" i="139"/>
  <c r="O9" i="139" s="1"/>
  <c r="J9" i="139"/>
  <c r="H9" i="139"/>
  <c r="I9" i="139" s="1"/>
  <c r="K9" i="139" s="1"/>
  <c r="C9" i="139"/>
  <c r="B9" i="139"/>
  <c r="N8" i="139"/>
  <c r="O8" i="139" s="1"/>
  <c r="J8" i="139"/>
  <c r="H8" i="139"/>
  <c r="I8" i="139" s="1"/>
  <c r="K8" i="139" s="1"/>
  <c r="C8" i="139"/>
  <c r="B8" i="139"/>
  <c r="N7" i="139"/>
  <c r="O7" i="139" s="1"/>
  <c r="J7" i="139"/>
  <c r="H7" i="139"/>
  <c r="I7" i="139" s="1"/>
  <c r="C7" i="139"/>
  <c r="B7" i="139"/>
  <c r="N6" i="139"/>
  <c r="O6" i="139" s="1"/>
  <c r="J6" i="139"/>
  <c r="H6" i="139"/>
  <c r="I6" i="139" s="1"/>
  <c r="C6" i="139"/>
  <c r="B6" i="139"/>
  <c r="N5" i="139"/>
  <c r="O5" i="139" s="1"/>
  <c r="J5" i="139"/>
  <c r="H5" i="139"/>
  <c r="I5" i="139" s="1"/>
  <c r="C5" i="139"/>
  <c r="B5" i="139"/>
  <c r="N4" i="139"/>
  <c r="O4" i="139" s="1"/>
  <c r="J4" i="139"/>
  <c r="H4" i="139"/>
  <c r="I4" i="139" s="1"/>
  <c r="C4" i="139"/>
  <c r="B4" i="139"/>
  <c r="N3" i="139"/>
  <c r="O3" i="139" s="1"/>
  <c r="J3" i="139"/>
  <c r="H3" i="139"/>
  <c r="I3" i="139" s="1"/>
  <c r="C3" i="139"/>
  <c r="B3" i="139"/>
  <c r="H1" i="139"/>
  <c r="O39" i="138"/>
  <c r="M39" i="138"/>
  <c r="H39" i="138" s="1"/>
  <c r="I39" i="138" s="1"/>
  <c r="J39" i="138"/>
  <c r="O38" i="138"/>
  <c r="M38" i="138"/>
  <c r="H38" i="138" s="1"/>
  <c r="I38" i="138" s="1"/>
  <c r="J38" i="138"/>
  <c r="O37" i="138"/>
  <c r="M37" i="138"/>
  <c r="H37" i="138" s="1"/>
  <c r="I37" i="138" s="1"/>
  <c r="J37" i="138"/>
  <c r="O36" i="138"/>
  <c r="M36" i="138"/>
  <c r="H36" i="138" s="1"/>
  <c r="I36" i="138" s="1"/>
  <c r="J36" i="138"/>
  <c r="O35" i="138"/>
  <c r="M35" i="138"/>
  <c r="H35" i="138" s="1"/>
  <c r="I35" i="138" s="1"/>
  <c r="J35" i="138"/>
  <c r="O34" i="138"/>
  <c r="M34" i="138"/>
  <c r="H34" i="138" s="1"/>
  <c r="I34" i="138" s="1"/>
  <c r="J34" i="138"/>
  <c r="O33" i="138"/>
  <c r="M33" i="138"/>
  <c r="H33" i="138" s="1"/>
  <c r="I33" i="138" s="1"/>
  <c r="J33" i="138"/>
  <c r="O32" i="138"/>
  <c r="M32" i="138"/>
  <c r="J32" i="138"/>
  <c r="H32" i="138"/>
  <c r="I32" i="138" s="1"/>
  <c r="K32" i="138" s="1"/>
  <c r="O31" i="138"/>
  <c r="M31" i="138"/>
  <c r="H31" i="138" s="1"/>
  <c r="I31" i="138" s="1"/>
  <c r="J31" i="138"/>
  <c r="O30" i="138"/>
  <c r="M30" i="138"/>
  <c r="H30" i="138" s="1"/>
  <c r="I30" i="138" s="1"/>
  <c r="J30" i="138"/>
  <c r="O29" i="138"/>
  <c r="M29" i="138"/>
  <c r="H29" i="138" s="1"/>
  <c r="I29" i="138" s="1"/>
  <c r="J29" i="138"/>
  <c r="O28" i="138"/>
  <c r="M28" i="138"/>
  <c r="H28" i="138" s="1"/>
  <c r="I28" i="138" s="1"/>
  <c r="J28" i="138"/>
  <c r="O27" i="138"/>
  <c r="M27" i="138"/>
  <c r="J27" i="138"/>
  <c r="H27" i="138"/>
  <c r="I27" i="138" s="1"/>
  <c r="O26" i="138"/>
  <c r="M26" i="138"/>
  <c r="H26" i="138" s="1"/>
  <c r="I26" i="138" s="1"/>
  <c r="J26" i="138"/>
  <c r="O25" i="138"/>
  <c r="M25" i="138"/>
  <c r="H25" i="138" s="1"/>
  <c r="I25" i="138" s="1"/>
  <c r="J25" i="138"/>
  <c r="O24" i="138"/>
  <c r="M24" i="138"/>
  <c r="H24" i="138" s="1"/>
  <c r="I24" i="138" s="1"/>
  <c r="J24" i="138"/>
  <c r="O23" i="138"/>
  <c r="M23" i="138"/>
  <c r="H23" i="138" s="1"/>
  <c r="I23" i="138" s="1"/>
  <c r="J23" i="138"/>
  <c r="O22" i="138"/>
  <c r="M22" i="138"/>
  <c r="H22" i="138" s="1"/>
  <c r="I22" i="138" s="1"/>
  <c r="J22" i="138"/>
  <c r="O21" i="138"/>
  <c r="M21" i="138"/>
  <c r="H21" i="138" s="1"/>
  <c r="I21" i="138" s="1"/>
  <c r="J21" i="138"/>
  <c r="B21" i="138"/>
  <c r="B22" i="138" s="1"/>
  <c r="B23" i="138" s="1"/>
  <c r="B24" i="138" s="1"/>
  <c r="B25" i="138" s="1"/>
  <c r="B26" i="138" s="1"/>
  <c r="B27" i="138" s="1"/>
  <c r="B28" i="138" s="1"/>
  <c r="B29" i="138" s="1"/>
  <c r="B30" i="138" s="1"/>
  <c r="B31" i="138" s="1"/>
  <c r="B32" i="138" s="1"/>
  <c r="B33" i="138" s="1"/>
  <c r="B34" i="138" s="1"/>
  <c r="B35" i="138" s="1"/>
  <c r="B36" i="138" s="1"/>
  <c r="B37" i="138" s="1"/>
  <c r="B38" i="138" s="1"/>
  <c r="B39" i="138" s="1"/>
  <c r="B40" i="138" s="1"/>
  <c r="B41" i="138" s="1"/>
  <c r="B42" i="138" s="1"/>
  <c r="B43" i="138" s="1"/>
  <c r="B44" i="138" s="1"/>
  <c r="B45" i="138" s="1"/>
  <c r="B46" i="138" s="1"/>
  <c r="B47" i="138" s="1"/>
  <c r="O20" i="138"/>
  <c r="M20" i="138"/>
  <c r="H20" i="138" s="1"/>
  <c r="I20" i="138" s="1"/>
  <c r="J20" i="138"/>
  <c r="O15" i="138"/>
  <c r="J15" i="138"/>
  <c r="H15" i="138"/>
  <c r="I15" i="138" s="1"/>
  <c r="B15" i="138"/>
  <c r="O14" i="138"/>
  <c r="J14" i="138"/>
  <c r="H14" i="138"/>
  <c r="I14" i="138" s="1"/>
  <c r="N9" i="138"/>
  <c r="O9" i="138" s="1"/>
  <c r="J9" i="138"/>
  <c r="H9" i="138"/>
  <c r="I9" i="138" s="1"/>
  <c r="K9" i="138" s="1"/>
  <c r="C9" i="138"/>
  <c r="B9" i="138"/>
  <c r="N8" i="138"/>
  <c r="O8" i="138" s="1"/>
  <c r="J8" i="138"/>
  <c r="H8" i="138"/>
  <c r="I8" i="138" s="1"/>
  <c r="K8" i="138" s="1"/>
  <c r="C8" i="138"/>
  <c r="B8" i="138"/>
  <c r="N7" i="138"/>
  <c r="O7" i="138" s="1"/>
  <c r="J7" i="138"/>
  <c r="H7" i="138"/>
  <c r="I7" i="138" s="1"/>
  <c r="C7" i="138"/>
  <c r="B7" i="138"/>
  <c r="N6" i="138"/>
  <c r="O6" i="138" s="1"/>
  <c r="J6" i="138"/>
  <c r="H6" i="138"/>
  <c r="I6" i="138" s="1"/>
  <c r="C6" i="138"/>
  <c r="B6" i="138"/>
  <c r="N5" i="138"/>
  <c r="O5" i="138" s="1"/>
  <c r="J5" i="138"/>
  <c r="H5" i="138"/>
  <c r="I5" i="138" s="1"/>
  <c r="C5" i="138"/>
  <c r="B5" i="138"/>
  <c r="N4" i="138"/>
  <c r="O4" i="138" s="1"/>
  <c r="J4" i="138"/>
  <c r="H4" i="138"/>
  <c r="I4" i="138" s="1"/>
  <c r="C4" i="138"/>
  <c r="B4" i="138"/>
  <c r="N3" i="138"/>
  <c r="O3" i="138" s="1"/>
  <c r="J3" i="138"/>
  <c r="H3" i="138"/>
  <c r="I3" i="138" s="1"/>
  <c r="C3" i="138"/>
  <c r="B3" i="138"/>
  <c r="H1" i="138"/>
  <c r="O39" i="137"/>
  <c r="M39" i="137"/>
  <c r="H39" i="137" s="1"/>
  <c r="I39" i="137" s="1"/>
  <c r="J39" i="137"/>
  <c r="O38" i="137"/>
  <c r="M38" i="137"/>
  <c r="H38" i="137" s="1"/>
  <c r="I38" i="137" s="1"/>
  <c r="J38" i="137"/>
  <c r="O37" i="137"/>
  <c r="M37" i="137"/>
  <c r="H37" i="137" s="1"/>
  <c r="I37" i="137" s="1"/>
  <c r="J37" i="137"/>
  <c r="O36" i="137"/>
  <c r="M36" i="137"/>
  <c r="J36" i="137"/>
  <c r="H36" i="137"/>
  <c r="I36" i="137" s="1"/>
  <c r="K36" i="137" s="1"/>
  <c r="O35" i="137"/>
  <c r="M35" i="137"/>
  <c r="H35" i="137" s="1"/>
  <c r="I35" i="137" s="1"/>
  <c r="J35" i="137"/>
  <c r="O34" i="137"/>
  <c r="M34" i="137"/>
  <c r="H34" i="137" s="1"/>
  <c r="I34" i="137" s="1"/>
  <c r="J34" i="137"/>
  <c r="O33" i="137"/>
  <c r="M33" i="137"/>
  <c r="H33" i="137" s="1"/>
  <c r="I33" i="137" s="1"/>
  <c r="J33" i="137"/>
  <c r="O32" i="137"/>
  <c r="M32" i="137"/>
  <c r="H32" i="137" s="1"/>
  <c r="I32" i="137" s="1"/>
  <c r="J32" i="137"/>
  <c r="O31" i="137"/>
  <c r="M31" i="137"/>
  <c r="H31" i="137" s="1"/>
  <c r="I31" i="137" s="1"/>
  <c r="J31" i="137"/>
  <c r="O30" i="137"/>
  <c r="M30" i="137"/>
  <c r="H30" i="137" s="1"/>
  <c r="I30" i="137" s="1"/>
  <c r="J30" i="137"/>
  <c r="O29" i="137"/>
  <c r="M29" i="137"/>
  <c r="H29" i="137" s="1"/>
  <c r="I29" i="137" s="1"/>
  <c r="K29" i="137" s="1"/>
  <c r="J29" i="137"/>
  <c r="O28" i="137"/>
  <c r="M28" i="137"/>
  <c r="H28" i="137" s="1"/>
  <c r="I28" i="137" s="1"/>
  <c r="J28" i="137"/>
  <c r="O27" i="137"/>
  <c r="M27" i="137"/>
  <c r="H27" i="137" s="1"/>
  <c r="I27" i="137" s="1"/>
  <c r="J27" i="137"/>
  <c r="O26" i="137"/>
  <c r="M26" i="137"/>
  <c r="H26" i="137" s="1"/>
  <c r="I26" i="137" s="1"/>
  <c r="J26" i="137"/>
  <c r="O25" i="137"/>
  <c r="M25" i="137"/>
  <c r="H25" i="137" s="1"/>
  <c r="I25" i="137" s="1"/>
  <c r="J25" i="137"/>
  <c r="O24" i="137"/>
  <c r="M24" i="137"/>
  <c r="H24" i="137" s="1"/>
  <c r="I24" i="137" s="1"/>
  <c r="K24" i="137" s="1"/>
  <c r="J24" i="137"/>
  <c r="O23" i="137"/>
  <c r="M23" i="137"/>
  <c r="J23" i="137"/>
  <c r="H23" i="137"/>
  <c r="I23" i="137" s="1"/>
  <c r="O22" i="137"/>
  <c r="M22" i="137"/>
  <c r="H22" i="137" s="1"/>
  <c r="I22" i="137" s="1"/>
  <c r="J22" i="137"/>
  <c r="O21" i="137"/>
  <c r="M21" i="137"/>
  <c r="H21" i="137" s="1"/>
  <c r="I21" i="137" s="1"/>
  <c r="J21" i="137"/>
  <c r="B21" i="137"/>
  <c r="B22" i="137" s="1"/>
  <c r="B23" i="137" s="1"/>
  <c r="B24" i="137" s="1"/>
  <c r="B25" i="137" s="1"/>
  <c r="B26" i="137" s="1"/>
  <c r="B27" i="137" s="1"/>
  <c r="B28" i="137" s="1"/>
  <c r="B29" i="137" s="1"/>
  <c r="B30" i="137" s="1"/>
  <c r="B31" i="137" s="1"/>
  <c r="B32" i="137" s="1"/>
  <c r="B33" i="137" s="1"/>
  <c r="B34" i="137" s="1"/>
  <c r="B35" i="137" s="1"/>
  <c r="B36" i="137" s="1"/>
  <c r="B37" i="137" s="1"/>
  <c r="B38" i="137" s="1"/>
  <c r="B39" i="137" s="1"/>
  <c r="B40" i="137" s="1"/>
  <c r="B41" i="137" s="1"/>
  <c r="B42" i="137" s="1"/>
  <c r="B43" i="137" s="1"/>
  <c r="B44" i="137" s="1"/>
  <c r="B45" i="137" s="1"/>
  <c r="B46" i="137" s="1"/>
  <c r="B47" i="137" s="1"/>
  <c r="O20" i="137"/>
  <c r="M20" i="137"/>
  <c r="H20" i="137" s="1"/>
  <c r="I20" i="137" s="1"/>
  <c r="J20" i="137"/>
  <c r="O15" i="137"/>
  <c r="J15" i="137"/>
  <c r="H15" i="137"/>
  <c r="I15" i="137" s="1"/>
  <c r="B15" i="137"/>
  <c r="O14" i="137"/>
  <c r="J14" i="137"/>
  <c r="H14" i="137"/>
  <c r="I14" i="137" s="1"/>
  <c r="N9" i="137"/>
  <c r="O9" i="137" s="1"/>
  <c r="J9" i="137"/>
  <c r="H9" i="137"/>
  <c r="I9" i="137" s="1"/>
  <c r="C9" i="137"/>
  <c r="B9" i="137"/>
  <c r="N8" i="137"/>
  <c r="O8" i="137" s="1"/>
  <c r="J8" i="137"/>
  <c r="H8" i="137"/>
  <c r="I8" i="137" s="1"/>
  <c r="K8" i="137" s="1"/>
  <c r="C8" i="137"/>
  <c r="B8" i="137"/>
  <c r="N7" i="137"/>
  <c r="O7" i="137" s="1"/>
  <c r="J7" i="137"/>
  <c r="H7" i="137"/>
  <c r="I7" i="137" s="1"/>
  <c r="C7" i="137"/>
  <c r="B7" i="137"/>
  <c r="N6" i="137"/>
  <c r="O6" i="137" s="1"/>
  <c r="J6" i="137"/>
  <c r="H6" i="137"/>
  <c r="I6" i="137" s="1"/>
  <c r="C6" i="137"/>
  <c r="B6" i="137"/>
  <c r="N5" i="137"/>
  <c r="O5" i="137" s="1"/>
  <c r="J5" i="137"/>
  <c r="H5" i="137"/>
  <c r="I5" i="137" s="1"/>
  <c r="C5" i="137"/>
  <c r="B5" i="137"/>
  <c r="N4" i="137"/>
  <c r="O4" i="137" s="1"/>
  <c r="J4" i="137"/>
  <c r="H4" i="137"/>
  <c r="I4" i="137" s="1"/>
  <c r="C4" i="137"/>
  <c r="B4" i="137"/>
  <c r="N3" i="137"/>
  <c r="O3" i="137" s="1"/>
  <c r="J3" i="137"/>
  <c r="H3" i="137"/>
  <c r="I3" i="137" s="1"/>
  <c r="C3" i="137"/>
  <c r="B3" i="137"/>
  <c r="H1" i="137"/>
  <c r="O39" i="136"/>
  <c r="M39" i="136"/>
  <c r="H39" i="136" s="1"/>
  <c r="I39" i="136" s="1"/>
  <c r="J39" i="136"/>
  <c r="O38" i="136"/>
  <c r="M38" i="136"/>
  <c r="H38" i="136" s="1"/>
  <c r="I38" i="136" s="1"/>
  <c r="J38" i="136"/>
  <c r="O37" i="136"/>
  <c r="M37" i="136"/>
  <c r="H37" i="136" s="1"/>
  <c r="I37" i="136" s="1"/>
  <c r="J37" i="136"/>
  <c r="O36" i="136"/>
  <c r="M36" i="136"/>
  <c r="H36" i="136" s="1"/>
  <c r="I36" i="136" s="1"/>
  <c r="J36" i="136"/>
  <c r="O35" i="136"/>
  <c r="M35" i="136"/>
  <c r="H35" i="136" s="1"/>
  <c r="I35" i="136" s="1"/>
  <c r="J35" i="136"/>
  <c r="O34" i="136"/>
  <c r="M34" i="136"/>
  <c r="H34" i="136" s="1"/>
  <c r="I34" i="136" s="1"/>
  <c r="J34" i="136"/>
  <c r="O33" i="136"/>
  <c r="M33" i="136"/>
  <c r="J33" i="136"/>
  <c r="H33" i="136"/>
  <c r="I33" i="136" s="1"/>
  <c r="K33" i="136" s="1"/>
  <c r="O32" i="136"/>
  <c r="M32" i="136"/>
  <c r="J32" i="136"/>
  <c r="H32" i="136"/>
  <c r="I32" i="136" s="1"/>
  <c r="K32" i="136" s="1"/>
  <c r="O31" i="136"/>
  <c r="M31" i="136"/>
  <c r="H31" i="136" s="1"/>
  <c r="I31" i="136" s="1"/>
  <c r="J31" i="136"/>
  <c r="O30" i="136"/>
  <c r="M30" i="136"/>
  <c r="H30" i="136" s="1"/>
  <c r="I30" i="136" s="1"/>
  <c r="J30" i="136"/>
  <c r="O29" i="136"/>
  <c r="M29" i="136"/>
  <c r="H29" i="136" s="1"/>
  <c r="I29" i="136" s="1"/>
  <c r="J29" i="136"/>
  <c r="O28" i="136"/>
  <c r="M28" i="136"/>
  <c r="H28" i="136" s="1"/>
  <c r="I28" i="136" s="1"/>
  <c r="J28" i="136"/>
  <c r="O27" i="136"/>
  <c r="M27" i="136"/>
  <c r="H27" i="136" s="1"/>
  <c r="I27" i="136" s="1"/>
  <c r="J27" i="136"/>
  <c r="O26" i="136"/>
  <c r="M26" i="136"/>
  <c r="H26" i="136" s="1"/>
  <c r="I26" i="136" s="1"/>
  <c r="J26" i="136"/>
  <c r="O25" i="136"/>
  <c r="M25" i="136"/>
  <c r="H25" i="136" s="1"/>
  <c r="I25" i="136" s="1"/>
  <c r="K25" i="136" s="1"/>
  <c r="J25" i="136"/>
  <c r="O24" i="136"/>
  <c r="M24" i="136"/>
  <c r="J24" i="136"/>
  <c r="H24" i="136"/>
  <c r="I24" i="136" s="1"/>
  <c r="K24" i="136" s="1"/>
  <c r="O23" i="136"/>
  <c r="M23" i="136"/>
  <c r="H23" i="136" s="1"/>
  <c r="I23" i="136" s="1"/>
  <c r="J23" i="136"/>
  <c r="O22" i="136"/>
  <c r="M22" i="136"/>
  <c r="H22" i="136" s="1"/>
  <c r="I22" i="136" s="1"/>
  <c r="J22" i="136"/>
  <c r="O21" i="136"/>
  <c r="M21" i="136"/>
  <c r="H21" i="136" s="1"/>
  <c r="I21" i="136" s="1"/>
  <c r="J21" i="136"/>
  <c r="B21" i="136"/>
  <c r="B22" i="136" s="1"/>
  <c r="B23" i="136" s="1"/>
  <c r="B24" i="136" s="1"/>
  <c r="B25" i="136" s="1"/>
  <c r="B26" i="136" s="1"/>
  <c r="B27" i="136" s="1"/>
  <c r="B28" i="136" s="1"/>
  <c r="B29" i="136" s="1"/>
  <c r="B30" i="136" s="1"/>
  <c r="B31" i="136" s="1"/>
  <c r="B32" i="136" s="1"/>
  <c r="B33" i="136" s="1"/>
  <c r="B34" i="136" s="1"/>
  <c r="B35" i="136" s="1"/>
  <c r="B36" i="136" s="1"/>
  <c r="B37" i="136" s="1"/>
  <c r="B38" i="136" s="1"/>
  <c r="B39" i="136" s="1"/>
  <c r="B40" i="136" s="1"/>
  <c r="B41" i="136" s="1"/>
  <c r="B42" i="136" s="1"/>
  <c r="B43" i="136" s="1"/>
  <c r="B44" i="136" s="1"/>
  <c r="B45" i="136" s="1"/>
  <c r="B46" i="136" s="1"/>
  <c r="B47" i="136" s="1"/>
  <c r="O20" i="136"/>
  <c r="M20" i="136"/>
  <c r="H20" i="136" s="1"/>
  <c r="I20" i="136" s="1"/>
  <c r="J20" i="136"/>
  <c r="O15" i="136"/>
  <c r="J15" i="136"/>
  <c r="H15" i="136"/>
  <c r="I15" i="136" s="1"/>
  <c r="K15" i="136" s="1"/>
  <c r="B15" i="136"/>
  <c r="O14" i="136"/>
  <c r="J14" i="136"/>
  <c r="H14" i="136"/>
  <c r="I14" i="136" s="1"/>
  <c r="N9" i="136"/>
  <c r="O9" i="136" s="1"/>
  <c r="J9" i="136"/>
  <c r="H9" i="136"/>
  <c r="I9" i="136" s="1"/>
  <c r="K9" i="136" s="1"/>
  <c r="C9" i="136"/>
  <c r="B9" i="136"/>
  <c r="N8" i="136"/>
  <c r="O8" i="136" s="1"/>
  <c r="J8" i="136"/>
  <c r="H8" i="136"/>
  <c r="I8" i="136" s="1"/>
  <c r="C8" i="136"/>
  <c r="B8" i="136"/>
  <c r="N7" i="136"/>
  <c r="O7" i="136" s="1"/>
  <c r="J7" i="136"/>
  <c r="H7" i="136"/>
  <c r="I7" i="136" s="1"/>
  <c r="C7" i="136"/>
  <c r="B7" i="136"/>
  <c r="N6" i="136"/>
  <c r="O6" i="136" s="1"/>
  <c r="J6" i="136"/>
  <c r="H6" i="136"/>
  <c r="I6" i="136" s="1"/>
  <c r="C6" i="136"/>
  <c r="B6" i="136"/>
  <c r="N5" i="136"/>
  <c r="O5" i="136" s="1"/>
  <c r="J5" i="136"/>
  <c r="H5" i="136"/>
  <c r="I5" i="136" s="1"/>
  <c r="C5" i="136"/>
  <c r="B5" i="136"/>
  <c r="N4" i="136"/>
  <c r="O4" i="136" s="1"/>
  <c r="J4" i="136"/>
  <c r="H4" i="136"/>
  <c r="I4" i="136" s="1"/>
  <c r="K4" i="136" s="1"/>
  <c r="C4" i="136"/>
  <c r="B4" i="136"/>
  <c r="N3" i="136"/>
  <c r="O3" i="136" s="1"/>
  <c r="J3" i="136"/>
  <c r="H3" i="136"/>
  <c r="I3" i="136" s="1"/>
  <c r="C3" i="136"/>
  <c r="B3" i="136"/>
  <c r="H1" i="136"/>
  <c r="H20" i="133"/>
  <c r="H19" i="133"/>
  <c r="K7" i="142" l="1"/>
  <c r="K33" i="142"/>
  <c r="K24" i="142"/>
  <c r="K21" i="142"/>
  <c r="K30" i="142"/>
  <c r="K15" i="142"/>
  <c r="K38" i="142"/>
  <c r="K29" i="142"/>
  <c r="K9" i="142"/>
  <c r="K35" i="142"/>
  <c r="K36" i="142"/>
  <c r="K28" i="142"/>
  <c r="K31" i="142"/>
  <c r="K22" i="142"/>
  <c r="K37" i="142"/>
  <c r="O48" i="142"/>
  <c r="H54" i="142" s="1"/>
  <c r="J54" i="142" s="1"/>
  <c r="K31" i="141"/>
  <c r="K22" i="141"/>
  <c r="K26" i="141"/>
  <c r="K24" i="141"/>
  <c r="K29" i="141"/>
  <c r="K25" i="141"/>
  <c r="K36" i="141"/>
  <c r="J16" i="141"/>
  <c r="K27" i="141"/>
  <c r="K15" i="141"/>
  <c r="K34" i="141"/>
  <c r="K21" i="141"/>
  <c r="K5" i="141"/>
  <c r="K30" i="141"/>
  <c r="O16" i="141"/>
  <c r="K37" i="141"/>
  <c r="K28" i="141"/>
  <c r="K23" i="141"/>
  <c r="K39" i="141"/>
  <c r="K35" i="141"/>
  <c r="O48" i="141"/>
  <c r="H54" i="141" s="1"/>
  <c r="J54" i="141" s="1"/>
  <c r="K15" i="140"/>
  <c r="K33" i="140"/>
  <c r="K3" i="140"/>
  <c r="K8" i="140"/>
  <c r="K23" i="140"/>
  <c r="J16" i="140"/>
  <c r="K24" i="140"/>
  <c r="K36" i="140"/>
  <c r="K32" i="140"/>
  <c r="K27" i="140"/>
  <c r="K26" i="140"/>
  <c r="K39" i="140"/>
  <c r="K34" i="140"/>
  <c r="K6" i="140"/>
  <c r="K7" i="140"/>
  <c r="K29" i="140"/>
  <c r="K38" i="140"/>
  <c r="K25" i="140"/>
  <c r="K21" i="140"/>
  <c r="K30" i="140"/>
  <c r="K35" i="140"/>
  <c r="K22" i="140"/>
  <c r="K31" i="140"/>
  <c r="K4" i="140"/>
  <c r="O16" i="140"/>
  <c r="K37" i="140"/>
  <c r="K28" i="140"/>
  <c r="O48" i="140"/>
  <c r="H54" i="140" s="1"/>
  <c r="J54" i="140" s="1"/>
  <c r="K9" i="140"/>
  <c r="K7" i="139"/>
  <c r="K26" i="139"/>
  <c r="K32" i="139"/>
  <c r="K24" i="139"/>
  <c r="K39" i="139"/>
  <c r="K29" i="139"/>
  <c r="K34" i="139"/>
  <c r="K25" i="139"/>
  <c r="J16" i="139"/>
  <c r="K27" i="139"/>
  <c r="K36" i="139"/>
  <c r="K4" i="139"/>
  <c r="K15" i="139"/>
  <c r="K28" i="139"/>
  <c r="K30" i="139"/>
  <c r="K5" i="139"/>
  <c r="K35" i="139"/>
  <c r="O16" i="139"/>
  <c r="K37" i="139"/>
  <c r="K6" i="139"/>
  <c r="K21" i="139"/>
  <c r="O48" i="139"/>
  <c r="H54" i="139" s="1"/>
  <c r="J54" i="139" s="1"/>
  <c r="K7" i="138"/>
  <c r="K31" i="138"/>
  <c r="K34" i="138"/>
  <c r="K36" i="138"/>
  <c r="K38" i="138"/>
  <c r="K29" i="138"/>
  <c r="K4" i="138"/>
  <c r="K15" i="138"/>
  <c r="K39" i="138"/>
  <c r="K6" i="138"/>
  <c r="K23" i="138"/>
  <c r="K25" i="138"/>
  <c r="K27" i="138"/>
  <c r="K26" i="138"/>
  <c r="J16" i="138"/>
  <c r="O16" i="138"/>
  <c r="K24" i="138"/>
  <c r="K33" i="138"/>
  <c r="K22" i="138"/>
  <c r="K5" i="138"/>
  <c r="K28" i="138"/>
  <c r="K37" i="138"/>
  <c r="K35" i="138"/>
  <c r="K21" i="138"/>
  <c r="K30" i="138"/>
  <c r="O48" i="138"/>
  <c r="H54" i="138" s="1"/>
  <c r="J54" i="138" s="1"/>
  <c r="K23" i="137"/>
  <c r="K27" i="137"/>
  <c r="K32" i="137"/>
  <c r="K26" i="137"/>
  <c r="K38" i="137"/>
  <c r="K39" i="137"/>
  <c r="K33" i="137"/>
  <c r="K34" i="137"/>
  <c r="K35" i="137"/>
  <c r="K22" i="137"/>
  <c r="K25" i="137"/>
  <c r="K9" i="137"/>
  <c r="K7" i="137"/>
  <c r="J16" i="137"/>
  <c r="O16" i="137"/>
  <c r="K31" i="137"/>
  <c r="K5" i="137"/>
  <c r="K6" i="137"/>
  <c r="K37" i="137"/>
  <c r="K30" i="137"/>
  <c r="K28" i="137"/>
  <c r="O48" i="137"/>
  <c r="H54" i="137" s="1"/>
  <c r="J54" i="137" s="1"/>
  <c r="K21" i="137"/>
  <c r="K4" i="137"/>
  <c r="K15" i="137"/>
  <c r="K39" i="136"/>
  <c r="K8" i="136"/>
  <c r="K36" i="136"/>
  <c r="K34" i="136"/>
  <c r="K31" i="136"/>
  <c r="K5" i="136"/>
  <c r="K38" i="136"/>
  <c r="K29" i="136"/>
  <c r="K26" i="136"/>
  <c r="K22" i="136"/>
  <c r="J16" i="136"/>
  <c r="K27" i="136"/>
  <c r="K6" i="136"/>
  <c r="K7" i="136"/>
  <c r="K23" i="136"/>
  <c r="K37" i="136"/>
  <c r="K28" i="136"/>
  <c r="K30" i="136"/>
  <c r="K35" i="136"/>
  <c r="K21" i="136"/>
  <c r="O48" i="136"/>
  <c r="H54" i="136" s="1"/>
  <c r="J54" i="136" s="1"/>
  <c r="O16" i="136"/>
  <c r="O10" i="140"/>
  <c r="H51" i="140" s="1"/>
  <c r="J51" i="140" s="1"/>
  <c r="K6" i="141"/>
  <c r="K8" i="141"/>
  <c r="K4" i="142"/>
  <c r="K4" i="141"/>
  <c r="K8" i="142"/>
  <c r="O10" i="137"/>
  <c r="H51" i="137" s="1"/>
  <c r="J51" i="137" s="1"/>
  <c r="O10" i="138"/>
  <c r="H51" i="138" s="1"/>
  <c r="J51" i="138" s="1"/>
  <c r="K6" i="142"/>
  <c r="K14" i="142"/>
  <c r="K16" i="142" s="1"/>
  <c r="J53" i="142" s="1"/>
  <c r="I16" i="142"/>
  <c r="O10" i="142"/>
  <c r="H51" i="142" s="1"/>
  <c r="J51" i="142" s="1"/>
  <c r="K20" i="142"/>
  <c r="I48" i="142"/>
  <c r="I10" i="142"/>
  <c r="I48" i="141"/>
  <c r="K20" i="141"/>
  <c r="I10" i="141"/>
  <c r="K3" i="141"/>
  <c r="O10" i="141"/>
  <c r="H51" i="141" s="1"/>
  <c r="J51" i="141" s="1"/>
  <c r="K14" i="141"/>
  <c r="I16" i="141"/>
  <c r="K20" i="140"/>
  <c r="I48" i="140"/>
  <c r="K14" i="140"/>
  <c r="K16" i="140" s="1"/>
  <c r="J53" i="140" s="1"/>
  <c r="I16" i="140"/>
  <c r="I10" i="140"/>
  <c r="K20" i="139"/>
  <c r="I48" i="139"/>
  <c r="K14" i="139"/>
  <c r="I16" i="139"/>
  <c r="O10" i="139"/>
  <c r="H51" i="139" s="1"/>
  <c r="J51" i="139" s="1"/>
  <c r="K3" i="139"/>
  <c r="I10" i="139"/>
  <c r="I48" i="138"/>
  <c r="K20" i="138"/>
  <c r="I10" i="138"/>
  <c r="K3" i="138"/>
  <c r="I16" i="138"/>
  <c r="K14" i="138"/>
  <c r="K16" i="138" s="1"/>
  <c r="J53" i="138" s="1"/>
  <c r="K3" i="137"/>
  <c r="I10" i="137"/>
  <c r="K20" i="137"/>
  <c r="I48" i="137"/>
  <c r="K14" i="137"/>
  <c r="I16" i="137"/>
  <c r="K3" i="136"/>
  <c r="I10" i="136"/>
  <c r="O10" i="136"/>
  <c r="H51" i="136" s="1"/>
  <c r="J51" i="136" s="1"/>
  <c r="K20" i="136"/>
  <c r="I48" i="136"/>
  <c r="I16" i="136"/>
  <c r="K14" i="136"/>
  <c r="K16" i="136" s="1"/>
  <c r="J53" i="136" s="1"/>
  <c r="H15" i="130"/>
  <c r="H14" i="130"/>
  <c r="H15" i="128"/>
  <c r="H14" i="128"/>
  <c r="H15" i="129"/>
  <c r="H14" i="129"/>
  <c r="H15" i="127"/>
  <c r="H14" i="127"/>
  <c r="H15" i="126"/>
  <c r="H14" i="126"/>
  <c r="H15" i="125"/>
  <c r="H14" i="125"/>
  <c r="H15" i="124"/>
  <c r="H14" i="124"/>
  <c r="H15" i="123"/>
  <c r="H14" i="123"/>
  <c r="H15" i="122"/>
  <c r="H15" i="121"/>
  <c r="O39" i="130"/>
  <c r="M39" i="130"/>
  <c r="H39" i="130" s="1"/>
  <c r="I39" i="130" s="1"/>
  <c r="K39" i="130" s="1"/>
  <c r="J39" i="130"/>
  <c r="N9" i="130"/>
  <c r="O9" i="130" s="1"/>
  <c r="J9" i="130"/>
  <c r="H9" i="130"/>
  <c r="I9" i="130" s="1"/>
  <c r="C9" i="130"/>
  <c r="B9" i="130"/>
  <c r="N8" i="130"/>
  <c r="O8" i="130" s="1"/>
  <c r="J8" i="130"/>
  <c r="H8" i="130"/>
  <c r="I8" i="130" s="1"/>
  <c r="C8" i="130"/>
  <c r="B8" i="130"/>
  <c r="O39" i="127"/>
  <c r="M39" i="127"/>
  <c r="H39" i="127" s="1"/>
  <c r="I39" i="127" s="1"/>
  <c r="J39" i="127"/>
  <c r="N9" i="127"/>
  <c r="O9" i="127" s="1"/>
  <c r="J9" i="127"/>
  <c r="H9" i="127"/>
  <c r="I9" i="127" s="1"/>
  <c r="C9" i="127"/>
  <c r="B9" i="127"/>
  <c r="O39" i="126"/>
  <c r="M39" i="126"/>
  <c r="H39" i="126" s="1"/>
  <c r="I39" i="126" s="1"/>
  <c r="J39" i="126"/>
  <c r="N9" i="126"/>
  <c r="O9" i="126" s="1"/>
  <c r="J9" i="126"/>
  <c r="H9" i="126"/>
  <c r="I9" i="126" s="1"/>
  <c r="C9" i="126"/>
  <c r="B9" i="126"/>
  <c r="N9" i="125"/>
  <c r="O9" i="125" s="1"/>
  <c r="J9" i="125"/>
  <c r="H9" i="125"/>
  <c r="I9" i="125" s="1"/>
  <c r="C9" i="125"/>
  <c r="B9" i="125"/>
  <c r="O39" i="124"/>
  <c r="M39" i="124"/>
  <c r="H39" i="124" s="1"/>
  <c r="I39" i="124" s="1"/>
  <c r="J39" i="124"/>
  <c r="N9" i="124"/>
  <c r="O9" i="124" s="1"/>
  <c r="J9" i="124"/>
  <c r="H9" i="124"/>
  <c r="I9" i="124" s="1"/>
  <c r="C9" i="124"/>
  <c r="B9" i="124"/>
  <c r="N8" i="124"/>
  <c r="O8" i="124" s="1"/>
  <c r="J8" i="124"/>
  <c r="H8" i="124"/>
  <c r="I8" i="124" s="1"/>
  <c r="C8" i="124"/>
  <c r="B8" i="124"/>
  <c r="N7" i="124"/>
  <c r="O7" i="124" s="1"/>
  <c r="J7" i="124"/>
  <c r="H7" i="124"/>
  <c r="I7" i="124" s="1"/>
  <c r="C7" i="124"/>
  <c r="B7" i="124"/>
  <c r="N6" i="124"/>
  <c r="O6" i="124" s="1"/>
  <c r="J6" i="124"/>
  <c r="H6" i="124"/>
  <c r="I6" i="124" s="1"/>
  <c r="C6" i="124"/>
  <c r="B6" i="124"/>
  <c r="N5" i="124"/>
  <c r="O5" i="124" s="1"/>
  <c r="J5" i="124"/>
  <c r="H5" i="124"/>
  <c r="I5" i="124" s="1"/>
  <c r="C5" i="124"/>
  <c r="B5" i="124"/>
  <c r="O39" i="123"/>
  <c r="M39" i="123"/>
  <c r="H39" i="123" s="1"/>
  <c r="I39" i="123" s="1"/>
  <c r="J39" i="123"/>
  <c r="O39" i="122"/>
  <c r="M39" i="122"/>
  <c r="H39" i="122" s="1"/>
  <c r="I39" i="122" s="1"/>
  <c r="J39" i="122"/>
  <c r="O38" i="122"/>
  <c r="M38" i="122"/>
  <c r="H38" i="122" s="1"/>
  <c r="I38" i="122" s="1"/>
  <c r="J38" i="122"/>
  <c r="O37" i="122"/>
  <c r="M37" i="122"/>
  <c r="H37" i="122" s="1"/>
  <c r="I37" i="122" s="1"/>
  <c r="J37" i="122"/>
  <c r="O36" i="122"/>
  <c r="M36" i="122"/>
  <c r="H36" i="122" s="1"/>
  <c r="I36" i="122" s="1"/>
  <c r="J36" i="122"/>
  <c r="O35" i="122"/>
  <c r="M35" i="122"/>
  <c r="H35" i="122" s="1"/>
  <c r="I35" i="122" s="1"/>
  <c r="J35" i="122"/>
  <c r="O34" i="122"/>
  <c r="M34" i="122"/>
  <c r="H34" i="122" s="1"/>
  <c r="I34" i="122" s="1"/>
  <c r="J34" i="122"/>
  <c r="O33" i="122"/>
  <c r="M33" i="122"/>
  <c r="H33" i="122" s="1"/>
  <c r="I33" i="122" s="1"/>
  <c r="J33" i="122"/>
  <c r="O39" i="121"/>
  <c r="M39" i="121"/>
  <c r="H39" i="121" s="1"/>
  <c r="I39" i="121" s="1"/>
  <c r="J39" i="121"/>
  <c r="O38" i="121"/>
  <c r="M38" i="121"/>
  <c r="H38" i="121" s="1"/>
  <c r="I38" i="121" s="1"/>
  <c r="J38" i="121"/>
  <c r="O37" i="121"/>
  <c r="M37" i="121"/>
  <c r="H37" i="121" s="1"/>
  <c r="I37" i="121" s="1"/>
  <c r="J37" i="121"/>
  <c r="O36" i="121"/>
  <c r="M36" i="121"/>
  <c r="H36" i="121" s="1"/>
  <c r="I36" i="121" s="1"/>
  <c r="J36" i="121"/>
  <c r="O35" i="121"/>
  <c r="M35" i="121"/>
  <c r="H35" i="121" s="1"/>
  <c r="I35" i="121" s="1"/>
  <c r="J35" i="121"/>
  <c r="O34" i="121"/>
  <c r="M34" i="121"/>
  <c r="H34" i="121" s="1"/>
  <c r="I34" i="121" s="1"/>
  <c r="J34" i="121"/>
  <c r="O33" i="121"/>
  <c r="M33" i="121"/>
  <c r="H33" i="121" s="1"/>
  <c r="I33" i="121" s="1"/>
  <c r="J33" i="121"/>
  <c r="O32" i="121"/>
  <c r="M32" i="121"/>
  <c r="H32" i="121" s="1"/>
  <c r="I32" i="121" s="1"/>
  <c r="J32" i="121"/>
  <c r="N9" i="122"/>
  <c r="O9" i="122" s="1"/>
  <c r="J9" i="122"/>
  <c r="H9" i="122"/>
  <c r="I9" i="122" s="1"/>
  <c r="C9" i="122"/>
  <c r="B9" i="122"/>
  <c r="N8" i="122"/>
  <c r="O8" i="122" s="1"/>
  <c r="J8" i="122"/>
  <c r="H8" i="122"/>
  <c r="I8" i="122" s="1"/>
  <c r="C8" i="122"/>
  <c r="B8" i="122"/>
  <c r="N7" i="122"/>
  <c r="O7" i="122" s="1"/>
  <c r="J7" i="122"/>
  <c r="H7" i="122"/>
  <c r="I7" i="122" s="1"/>
  <c r="C7" i="122"/>
  <c r="B7" i="122"/>
  <c r="N9" i="121"/>
  <c r="O9" i="121" s="1"/>
  <c r="J9" i="121"/>
  <c r="H9" i="121"/>
  <c r="I9" i="121" s="1"/>
  <c r="C9" i="121"/>
  <c r="B9" i="121"/>
  <c r="N8" i="121"/>
  <c r="O8" i="121" s="1"/>
  <c r="J8" i="121"/>
  <c r="H8" i="121"/>
  <c r="I8" i="121" s="1"/>
  <c r="C8" i="121"/>
  <c r="B8" i="121"/>
  <c r="N7" i="121"/>
  <c r="O7" i="121" s="1"/>
  <c r="J7" i="121"/>
  <c r="H7" i="121"/>
  <c r="I7" i="121" s="1"/>
  <c r="C7" i="121"/>
  <c r="B7" i="121"/>
  <c r="O43" i="132"/>
  <c r="M43" i="132"/>
  <c r="H43" i="132" s="1"/>
  <c r="I43" i="132" s="1"/>
  <c r="J43" i="132"/>
  <c r="O42" i="132"/>
  <c r="M42" i="132"/>
  <c r="H42" i="132" s="1"/>
  <c r="I42" i="132" s="1"/>
  <c r="J42" i="132"/>
  <c r="O38" i="132"/>
  <c r="M38" i="132"/>
  <c r="H38" i="132" s="1"/>
  <c r="I38" i="132" s="1"/>
  <c r="J38" i="132"/>
  <c r="O37" i="132"/>
  <c r="M37" i="132"/>
  <c r="H37" i="132" s="1"/>
  <c r="I37" i="132" s="1"/>
  <c r="J37" i="132"/>
  <c r="K48" i="142" l="1"/>
  <c r="H55" i="142" s="1"/>
  <c r="J55" i="142" s="1"/>
  <c r="K16" i="141"/>
  <c r="J53" i="141" s="1"/>
  <c r="K48" i="141"/>
  <c r="H55" i="141" s="1"/>
  <c r="J55" i="141" s="1"/>
  <c r="K10" i="140"/>
  <c r="H52" i="140" s="1"/>
  <c r="J52" i="140" s="1"/>
  <c r="K48" i="140"/>
  <c r="H55" i="140" s="1"/>
  <c r="J55" i="140" s="1"/>
  <c r="K10" i="139"/>
  <c r="H52" i="139" s="1"/>
  <c r="J52" i="139" s="1"/>
  <c r="K16" i="139"/>
  <c r="J53" i="139" s="1"/>
  <c r="K48" i="139"/>
  <c r="H55" i="139" s="1"/>
  <c r="J55" i="139" s="1"/>
  <c r="K10" i="138"/>
  <c r="H52" i="138" s="1"/>
  <c r="J52" i="138" s="1"/>
  <c r="K48" i="138"/>
  <c r="H55" i="138" s="1"/>
  <c r="J55" i="138" s="1"/>
  <c r="K10" i="137"/>
  <c r="H52" i="137" s="1"/>
  <c r="J52" i="137" s="1"/>
  <c r="K16" i="137"/>
  <c r="J53" i="137" s="1"/>
  <c r="K48" i="137"/>
  <c r="H55" i="137" s="1"/>
  <c r="J55" i="137" s="1"/>
  <c r="K10" i="136"/>
  <c r="H52" i="136" s="1"/>
  <c r="J52" i="136" s="1"/>
  <c r="K48" i="136"/>
  <c r="H55" i="136" s="1"/>
  <c r="J55" i="136" s="1"/>
  <c r="K39" i="127"/>
  <c r="K9" i="126"/>
  <c r="K39" i="126"/>
  <c r="K39" i="124"/>
  <c r="K5" i="124"/>
  <c r="K39" i="123"/>
  <c r="K10" i="142"/>
  <c r="H52" i="142" s="1"/>
  <c r="K10" i="141"/>
  <c r="H52" i="141" s="1"/>
  <c r="H56" i="141" s="1"/>
  <c r="K38" i="122"/>
  <c r="K37" i="122"/>
  <c r="K33" i="122"/>
  <c r="K39" i="122"/>
  <c r="K36" i="122"/>
  <c r="K34" i="122"/>
  <c r="K35" i="122"/>
  <c r="K37" i="121"/>
  <c r="K35" i="121"/>
  <c r="K39" i="121"/>
  <c r="K36" i="121"/>
  <c r="K38" i="121"/>
  <c r="K8" i="130"/>
  <c r="K9" i="130"/>
  <c r="K9" i="127"/>
  <c r="K9" i="125"/>
  <c r="K9" i="124"/>
  <c r="K7" i="124"/>
  <c r="K8" i="124"/>
  <c r="K6" i="124"/>
  <c r="K34" i="121"/>
  <c r="K33" i="121"/>
  <c r="K32" i="121"/>
  <c r="K7" i="121"/>
  <c r="K7" i="122"/>
  <c r="K9" i="122"/>
  <c r="K8" i="122"/>
  <c r="K9" i="121"/>
  <c r="K8" i="121"/>
  <c r="K42" i="132"/>
  <c r="K37" i="132"/>
  <c r="K43" i="132"/>
  <c r="K38" i="132"/>
  <c r="H56" i="142" l="1"/>
  <c r="J57" i="140"/>
  <c r="H56" i="140"/>
  <c r="J56" i="140"/>
  <c r="H56" i="139"/>
  <c r="H56" i="138"/>
  <c r="H56" i="136"/>
  <c r="H56" i="137"/>
  <c r="J52" i="142"/>
  <c r="J56" i="142" s="1"/>
  <c r="J52" i="141"/>
  <c r="J57" i="141" s="1"/>
  <c r="J57" i="139"/>
  <c r="J56" i="139"/>
  <c r="J57" i="138"/>
  <c r="J56" i="138"/>
  <c r="J57" i="137"/>
  <c r="J56" i="137"/>
  <c r="J57" i="136"/>
  <c r="J56" i="136"/>
  <c r="J57" i="142" l="1"/>
  <c r="J56" i="141"/>
  <c r="N9" i="132" l="1"/>
  <c r="O9" i="132" s="1"/>
  <c r="J9" i="132"/>
  <c r="H9" i="132"/>
  <c r="I9" i="132" s="1"/>
  <c r="C9" i="132"/>
  <c r="B9" i="132"/>
  <c r="N8" i="132"/>
  <c r="O8" i="132" s="1"/>
  <c r="J8" i="132"/>
  <c r="H8" i="132"/>
  <c r="I8" i="132" s="1"/>
  <c r="C8" i="132"/>
  <c r="B8" i="132"/>
  <c r="N7" i="132"/>
  <c r="O7" i="132" s="1"/>
  <c r="J7" i="132"/>
  <c r="H7" i="132"/>
  <c r="I7" i="132" s="1"/>
  <c r="K7" i="132" s="1"/>
  <c r="C7" i="132"/>
  <c r="B7" i="132"/>
  <c r="K9" i="132" l="1"/>
  <c r="K8" i="132"/>
  <c r="N6" i="121" l="1"/>
  <c r="O6" i="121" s="1"/>
  <c r="J6" i="121"/>
  <c r="H6" i="121"/>
  <c r="I6" i="121" s="1"/>
  <c r="C6" i="121"/>
  <c r="B6" i="121"/>
  <c r="N5" i="121"/>
  <c r="O5" i="121" s="1"/>
  <c r="J5" i="121"/>
  <c r="H5" i="121"/>
  <c r="I5" i="121" s="1"/>
  <c r="C5" i="121"/>
  <c r="B5" i="121"/>
  <c r="K6" i="121" l="1"/>
  <c r="K5" i="121"/>
  <c r="O28" i="125"/>
  <c r="M28" i="125"/>
  <c r="H28" i="125" s="1"/>
  <c r="I28" i="125" s="1"/>
  <c r="J28" i="125"/>
  <c r="K28" i="125" l="1"/>
  <c r="J26" i="132"/>
  <c r="J27" i="132"/>
  <c r="J28" i="132"/>
  <c r="J29" i="132"/>
  <c r="J30" i="132"/>
  <c r="J31" i="132"/>
  <c r="J32" i="132"/>
  <c r="J33" i="132"/>
  <c r="J34" i="132"/>
  <c r="J35" i="132"/>
  <c r="J36" i="132"/>
  <c r="J39" i="132"/>
  <c r="J40" i="132"/>
  <c r="J41" i="132"/>
  <c r="J44" i="132"/>
  <c r="J25" i="132"/>
  <c r="M26" i="132"/>
  <c r="M27" i="132"/>
  <c r="M28" i="132"/>
  <c r="M29" i="132"/>
  <c r="M30" i="132"/>
  <c r="M31" i="132"/>
  <c r="M32" i="132"/>
  <c r="M33" i="132"/>
  <c r="M34" i="132"/>
  <c r="M35" i="132"/>
  <c r="M36" i="132"/>
  <c r="M39" i="132"/>
  <c r="M40" i="132"/>
  <c r="M41" i="132"/>
  <c r="M44" i="132"/>
  <c r="M25" i="132"/>
  <c r="O44" i="133"/>
  <c r="M44" i="133"/>
  <c r="H44" i="133" s="1"/>
  <c r="J44" i="133"/>
  <c r="N14" i="133"/>
  <c r="J14" i="133"/>
  <c r="H14" i="133"/>
  <c r="C14" i="133"/>
  <c r="B14" i="133"/>
  <c r="N13" i="133"/>
  <c r="J13" i="133"/>
  <c r="H13" i="133"/>
  <c r="C13" i="133"/>
  <c r="B13" i="133"/>
  <c r="N12" i="133"/>
  <c r="J12" i="133"/>
  <c r="H12" i="133"/>
  <c r="C12" i="133"/>
  <c r="B12" i="133"/>
  <c r="N11" i="133"/>
  <c r="J11" i="133"/>
  <c r="H11" i="133"/>
  <c r="C11" i="133"/>
  <c r="B11" i="133"/>
  <c r="N10" i="133"/>
  <c r="J10" i="133"/>
  <c r="H10" i="133"/>
  <c r="C10" i="133"/>
  <c r="B10" i="133"/>
  <c r="N9" i="133"/>
  <c r="J9" i="133"/>
  <c r="H9" i="133"/>
  <c r="C9" i="133"/>
  <c r="B9" i="133"/>
  <c r="N8" i="133"/>
  <c r="J8" i="133"/>
  <c r="H8" i="133"/>
  <c r="C8" i="133"/>
  <c r="B8" i="133"/>
  <c r="I13" i="133" l="1"/>
  <c r="K13" i="133" s="1"/>
  <c r="I11" i="133"/>
  <c r="K11" i="133" s="1"/>
  <c r="O13" i="133"/>
  <c r="O11" i="133"/>
  <c r="I44" i="133"/>
  <c r="K44" i="133" s="1"/>
  <c r="I14" i="133"/>
  <c r="K14" i="133" s="1"/>
  <c r="O14" i="133"/>
  <c r="I10" i="133"/>
  <c r="K10" i="133" s="1"/>
  <c r="I8" i="133"/>
  <c r="K8" i="133" s="1"/>
  <c r="I9" i="133"/>
  <c r="K9" i="133" s="1"/>
  <c r="O8" i="133"/>
  <c r="I12" i="133"/>
  <c r="K12" i="133" s="1"/>
  <c r="O12" i="133"/>
  <c r="O9" i="133"/>
  <c r="O10" i="133"/>
  <c r="O43" i="133" l="1"/>
  <c r="M43" i="133"/>
  <c r="H43" i="133" s="1"/>
  <c r="I43" i="133" s="1"/>
  <c r="J43" i="133"/>
  <c r="O42" i="133"/>
  <c r="M42" i="133"/>
  <c r="H42" i="133" s="1"/>
  <c r="I42" i="133" s="1"/>
  <c r="J42" i="133"/>
  <c r="O41" i="133"/>
  <c r="M41" i="133"/>
  <c r="H41" i="133" s="1"/>
  <c r="I41" i="133" s="1"/>
  <c r="J41" i="133"/>
  <c r="O40" i="133"/>
  <c r="M40" i="133"/>
  <c r="H40" i="133" s="1"/>
  <c r="I40" i="133" s="1"/>
  <c r="J40" i="133"/>
  <c r="O39" i="133"/>
  <c r="M39" i="133"/>
  <c r="H39" i="133" s="1"/>
  <c r="I39" i="133" s="1"/>
  <c r="J39" i="133"/>
  <c r="O38" i="133"/>
  <c r="M38" i="133"/>
  <c r="H38" i="133" s="1"/>
  <c r="I38" i="133" s="1"/>
  <c r="J38" i="133"/>
  <c r="O37" i="133"/>
  <c r="M37" i="133"/>
  <c r="H37" i="133" s="1"/>
  <c r="I37" i="133" s="1"/>
  <c r="J37" i="133"/>
  <c r="O36" i="133"/>
  <c r="M36" i="133"/>
  <c r="H36" i="133" s="1"/>
  <c r="I36" i="133" s="1"/>
  <c r="J36" i="133"/>
  <c r="O35" i="133"/>
  <c r="M35" i="133"/>
  <c r="H35" i="133" s="1"/>
  <c r="I35" i="133" s="1"/>
  <c r="J35" i="133"/>
  <c r="M34" i="133"/>
  <c r="J34" i="133"/>
  <c r="O33" i="133"/>
  <c r="M33" i="133"/>
  <c r="H33" i="133" s="1"/>
  <c r="I33" i="133" s="1"/>
  <c r="J33" i="133"/>
  <c r="O32" i="133"/>
  <c r="M32" i="133"/>
  <c r="H32" i="133" s="1"/>
  <c r="I32" i="133" s="1"/>
  <c r="J32" i="133"/>
  <c r="O31" i="133"/>
  <c r="M31" i="133"/>
  <c r="H31" i="133" s="1"/>
  <c r="I31" i="133" s="1"/>
  <c r="J31" i="133"/>
  <c r="O30" i="133"/>
  <c r="M30" i="133"/>
  <c r="J30" i="133"/>
  <c r="H30" i="133"/>
  <c r="I30" i="133" s="1"/>
  <c r="K30" i="133" s="1"/>
  <c r="O29" i="133"/>
  <c r="M29" i="133"/>
  <c r="J29" i="133"/>
  <c r="O28" i="133"/>
  <c r="M28" i="133"/>
  <c r="H28" i="133" s="1"/>
  <c r="I28" i="133" s="1"/>
  <c r="J28" i="133"/>
  <c r="O27" i="133"/>
  <c r="M27" i="133"/>
  <c r="H27" i="133" s="1"/>
  <c r="I27" i="133" s="1"/>
  <c r="J27" i="133"/>
  <c r="O26" i="133"/>
  <c r="M26" i="133"/>
  <c r="H26" i="133" s="1"/>
  <c r="I26" i="133" s="1"/>
  <c r="J26" i="133"/>
  <c r="B26" i="133"/>
  <c r="B27" i="133" s="1"/>
  <c r="B28" i="133" s="1"/>
  <c r="B29" i="133" s="1"/>
  <c r="B30" i="133" s="1"/>
  <c r="B31" i="133" s="1"/>
  <c r="B32" i="133" s="1"/>
  <c r="B33" i="133" s="1"/>
  <c r="B34" i="133" s="1"/>
  <c r="B35" i="133" s="1"/>
  <c r="B36" i="133" s="1"/>
  <c r="B37" i="133" s="1"/>
  <c r="B38" i="133" s="1"/>
  <c r="B39" i="133" s="1"/>
  <c r="B40" i="133" s="1"/>
  <c r="B41" i="133" s="1"/>
  <c r="B42" i="133" s="1"/>
  <c r="B43" i="133" s="1"/>
  <c r="B44" i="133" s="1"/>
  <c r="O25" i="133"/>
  <c r="M25" i="133"/>
  <c r="H25" i="133" s="1"/>
  <c r="I25" i="133" s="1"/>
  <c r="J25" i="133"/>
  <c r="O20" i="133"/>
  <c r="J20" i="133"/>
  <c r="I20" i="133"/>
  <c r="B20" i="133"/>
  <c r="O19" i="133"/>
  <c r="J19" i="133"/>
  <c r="N7" i="133"/>
  <c r="O7" i="133" s="1"/>
  <c r="J7" i="133"/>
  <c r="H7" i="133"/>
  <c r="I7" i="133" s="1"/>
  <c r="C7" i="133"/>
  <c r="B7" i="133"/>
  <c r="N6" i="133"/>
  <c r="O6" i="133" s="1"/>
  <c r="J6" i="133"/>
  <c r="H6" i="133"/>
  <c r="I6" i="133" s="1"/>
  <c r="C6" i="133"/>
  <c r="B6" i="133"/>
  <c r="N5" i="133"/>
  <c r="O5" i="133" s="1"/>
  <c r="J5" i="133"/>
  <c r="H5" i="133"/>
  <c r="I5" i="133" s="1"/>
  <c r="C5" i="133"/>
  <c r="B5" i="133"/>
  <c r="N4" i="133"/>
  <c r="O4" i="133" s="1"/>
  <c r="J4" i="133"/>
  <c r="H4" i="133"/>
  <c r="I4" i="133" s="1"/>
  <c r="C4" i="133"/>
  <c r="B4" i="133"/>
  <c r="N3" i="133"/>
  <c r="O3" i="133" s="1"/>
  <c r="J3" i="133"/>
  <c r="H3" i="133"/>
  <c r="I3" i="133" s="1"/>
  <c r="C3" i="133"/>
  <c r="B3" i="133"/>
  <c r="H1" i="133"/>
  <c r="G19" i="132"/>
  <c r="O19" i="132" s="1"/>
  <c r="G18" i="132"/>
  <c r="I18" i="132" s="1"/>
  <c r="G17" i="132"/>
  <c r="I17" i="132" s="1"/>
  <c r="G16" i="132"/>
  <c r="O16" i="132" s="1"/>
  <c r="G15" i="132"/>
  <c r="I15" i="132" s="1"/>
  <c r="G14" i="132"/>
  <c r="O14" i="132" s="1"/>
  <c r="O20" i="132"/>
  <c r="J20" i="132"/>
  <c r="I20" i="132"/>
  <c r="J19" i="132"/>
  <c r="J18" i="132"/>
  <c r="J17" i="132"/>
  <c r="O26" i="132"/>
  <c r="J4" i="132"/>
  <c r="J5" i="132"/>
  <c r="J6" i="132"/>
  <c r="J3" i="132"/>
  <c r="O44" i="132"/>
  <c r="H44" i="132"/>
  <c r="I44" i="132" s="1"/>
  <c r="O41" i="132"/>
  <c r="H41" i="132"/>
  <c r="I41" i="132" s="1"/>
  <c r="O40" i="132"/>
  <c r="H40" i="132"/>
  <c r="I40" i="132" s="1"/>
  <c r="O39" i="132"/>
  <c r="H39" i="132"/>
  <c r="I39" i="132" s="1"/>
  <c r="O36" i="132"/>
  <c r="H36" i="132"/>
  <c r="I36" i="132" s="1"/>
  <c r="O35" i="132"/>
  <c r="H35" i="132"/>
  <c r="I35" i="132" s="1"/>
  <c r="O34" i="132"/>
  <c r="H34" i="132"/>
  <c r="I34" i="132" s="1"/>
  <c r="H33" i="132"/>
  <c r="I33" i="132" s="1"/>
  <c r="O32" i="132"/>
  <c r="H32" i="132"/>
  <c r="I32" i="132" s="1"/>
  <c r="O31" i="132"/>
  <c r="H31" i="132"/>
  <c r="I31" i="132" s="1"/>
  <c r="O30" i="132"/>
  <c r="H30" i="132"/>
  <c r="I30" i="132" s="1"/>
  <c r="H29" i="132"/>
  <c r="I29" i="132" s="1"/>
  <c r="O28" i="132"/>
  <c r="H28" i="132"/>
  <c r="I28" i="132" s="1"/>
  <c r="O27" i="132"/>
  <c r="H27" i="132"/>
  <c r="I27" i="132" s="1"/>
  <c r="H26" i="132"/>
  <c r="I26" i="132" s="1"/>
  <c r="B26" i="132"/>
  <c r="B27" i="132" s="1"/>
  <c r="B28" i="132" s="1"/>
  <c r="B29" i="132" s="1"/>
  <c r="B30" i="132" s="1"/>
  <c r="B31" i="132" s="1"/>
  <c r="B32" i="132" s="1"/>
  <c r="B33" i="132" s="1"/>
  <c r="B34" i="132" s="1"/>
  <c r="B35" i="132" s="1"/>
  <c r="B36" i="132" s="1"/>
  <c r="B37" i="132" s="1"/>
  <c r="B38" i="132" s="1"/>
  <c r="B39" i="132" s="1"/>
  <c r="B40" i="132" s="1"/>
  <c r="B41" i="132" s="1"/>
  <c r="B42" i="132" s="1"/>
  <c r="B43" i="132" s="1"/>
  <c r="B44" i="132" s="1"/>
  <c r="O25" i="132"/>
  <c r="H25" i="132"/>
  <c r="I25" i="132" s="1"/>
  <c r="J16" i="132"/>
  <c r="J15" i="132"/>
  <c r="B15" i="132"/>
  <c r="B16" i="132" s="1"/>
  <c r="B17" i="132" s="1"/>
  <c r="B18" i="132" s="1"/>
  <c r="B19" i="132" s="1"/>
  <c r="B20" i="132" s="1"/>
  <c r="J14" i="132"/>
  <c r="N6" i="132"/>
  <c r="H6" i="132"/>
  <c r="C6" i="132"/>
  <c r="B6" i="132"/>
  <c r="N5" i="132"/>
  <c r="H5" i="132"/>
  <c r="C5" i="132"/>
  <c r="B5" i="132"/>
  <c r="N4" i="132"/>
  <c r="H4" i="132"/>
  <c r="C4" i="132"/>
  <c r="B4" i="132"/>
  <c r="N3" i="132"/>
  <c r="O3" i="132" s="1"/>
  <c r="H3" i="132"/>
  <c r="I3" i="132" s="1"/>
  <c r="C3" i="132"/>
  <c r="B3" i="132"/>
  <c r="H1" i="132"/>
  <c r="N7" i="130"/>
  <c r="O7" i="130" s="1"/>
  <c r="J7" i="130"/>
  <c r="H7" i="130"/>
  <c r="I7" i="130" s="1"/>
  <c r="C7" i="130"/>
  <c r="B7" i="130"/>
  <c r="N6" i="130"/>
  <c r="O6" i="130" s="1"/>
  <c r="J6" i="130"/>
  <c r="H6" i="130"/>
  <c r="I6" i="130" s="1"/>
  <c r="C6" i="130"/>
  <c r="B6" i="130"/>
  <c r="N5" i="130"/>
  <c r="O5" i="130" s="1"/>
  <c r="J5" i="130"/>
  <c r="H5" i="130"/>
  <c r="I5" i="130" s="1"/>
  <c r="C5" i="130"/>
  <c r="B5" i="130"/>
  <c r="O37" i="129"/>
  <c r="O35" i="129"/>
  <c r="O25" i="129"/>
  <c r="O24" i="129"/>
  <c r="O39" i="129"/>
  <c r="M39" i="129"/>
  <c r="H39" i="129" s="1"/>
  <c r="I39" i="129" s="1"/>
  <c r="J39" i="129"/>
  <c r="N9" i="129"/>
  <c r="O9" i="129" s="1"/>
  <c r="J9" i="129"/>
  <c r="H9" i="129"/>
  <c r="I9" i="129" s="1"/>
  <c r="C9" i="129"/>
  <c r="B9" i="129"/>
  <c r="N8" i="129"/>
  <c r="O8" i="129" s="1"/>
  <c r="J8" i="129"/>
  <c r="H8" i="129"/>
  <c r="I8" i="129" s="1"/>
  <c r="C8" i="129"/>
  <c r="B8" i="129"/>
  <c r="N7" i="129"/>
  <c r="O7" i="129" s="1"/>
  <c r="J7" i="129"/>
  <c r="H7" i="129"/>
  <c r="I7" i="129" s="1"/>
  <c r="C7" i="129"/>
  <c r="B7" i="129"/>
  <c r="N6" i="129"/>
  <c r="O6" i="129" s="1"/>
  <c r="J6" i="129"/>
  <c r="H6" i="129"/>
  <c r="I6" i="129" s="1"/>
  <c r="C6" i="129"/>
  <c r="B6" i="129"/>
  <c r="N5" i="129"/>
  <c r="O5" i="129" s="1"/>
  <c r="J5" i="129"/>
  <c r="H5" i="129"/>
  <c r="I5" i="129" s="1"/>
  <c r="C5" i="129"/>
  <c r="B5" i="129"/>
  <c r="O37" i="128"/>
  <c r="O32" i="128"/>
  <c r="O31" i="128"/>
  <c r="O39" i="128"/>
  <c r="M39" i="128"/>
  <c r="H39" i="128" s="1"/>
  <c r="I39" i="128" s="1"/>
  <c r="J39" i="128"/>
  <c r="I14" i="128"/>
  <c r="N9" i="128"/>
  <c r="O9" i="128" s="1"/>
  <c r="J9" i="128"/>
  <c r="H9" i="128"/>
  <c r="I9" i="128" s="1"/>
  <c r="C9" i="128"/>
  <c r="B9" i="128"/>
  <c r="N8" i="128"/>
  <c r="O8" i="128" s="1"/>
  <c r="J8" i="128"/>
  <c r="H8" i="128"/>
  <c r="I8" i="128" s="1"/>
  <c r="C8" i="128"/>
  <c r="B8" i="128"/>
  <c r="N7" i="128"/>
  <c r="O7" i="128" s="1"/>
  <c r="J7" i="128"/>
  <c r="H7" i="128"/>
  <c r="I7" i="128" s="1"/>
  <c r="C7" i="128"/>
  <c r="B7" i="128"/>
  <c r="N6" i="128"/>
  <c r="O6" i="128" s="1"/>
  <c r="J6" i="128"/>
  <c r="H6" i="128"/>
  <c r="I6" i="128" s="1"/>
  <c r="C6" i="128"/>
  <c r="B6" i="128"/>
  <c r="N5" i="128"/>
  <c r="O5" i="128" s="1"/>
  <c r="J5" i="128"/>
  <c r="H5" i="128"/>
  <c r="I5" i="128" s="1"/>
  <c r="C5" i="128"/>
  <c r="B5" i="128"/>
  <c r="I14" i="127"/>
  <c r="N8" i="127"/>
  <c r="O8" i="127" s="1"/>
  <c r="J8" i="127"/>
  <c r="H8" i="127"/>
  <c r="I8" i="127" s="1"/>
  <c r="C8" i="127"/>
  <c r="B8" i="127"/>
  <c r="N7" i="127"/>
  <c r="O7" i="127" s="1"/>
  <c r="J7" i="127"/>
  <c r="H7" i="127"/>
  <c r="I7" i="127" s="1"/>
  <c r="K7" i="127" s="1"/>
  <c r="C7" i="127"/>
  <c r="B7" i="127"/>
  <c r="N6" i="127"/>
  <c r="O6" i="127" s="1"/>
  <c r="J6" i="127"/>
  <c r="H6" i="127"/>
  <c r="I6" i="127" s="1"/>
  <c r="C6" i="127"/>
  <c r="B6" i="127"/>
  <c r="N5" i="127"/>
  <c r="O5" i="127" s="1"/>
  <c r="J5" i="127"/>
  <c r="H5" i="127"/>
  <c r="I5" i="127" s="1"/>
  <c r="C5" i="127"/>
  <c r="B5" i="127"/>
  <c r="I14" i="126"/>
  <c r="N8" i="126"/>
  <c r="O8" i="126" s="1"/>
  <c r="J8" i="126"/>
  <c r="H8" i="126"/>
  <c r="I8" i="126" s="1"/>
  <c r="C8" i="126"/>
  <c r="B8" i="126"/>
  <c r="N7" i="126"/>
  <c r="O7" i="126" s="1"/>
  <c r="J7" i="126"/>
  <c r="H7" i="126"/>
  <c r="I7" i="126" s="1"/>
  <c r="C7" i="126"/>
  <c r="B7" i="126"/>
  <c r="N6" i="126"/>
  <c r="O6" i="126" s="1"/>
  <c r="J6" i="126"/>
  <c r="H6" i="126"/>
  <c r="I6" i="126" s="1"/>
  <c r="C6" i="126"/>
  <c r="B6" i="126"/>
  <c r="N5" i="126"/>
  <c r="O5" i="126" s="1"/>
  <c r="J5" i="126"/>
  <c r="H5" i="126"/>
  <c r="I5" i="126" s="1"/>
  <c r="C5" i="126"/>
  <c r="B5" i="126"/>
  <c r="O34" i="125"/>
  <c r="O29" i="125"/>
  <c r="O27" i="125"/>
  <c r="I15" i="125"/>
  <c r="I19" i="133"/>
  <c r="N8" i="125"/>
  <c r="O8" i="125" s="1"/>
  <c r="J8" i="125"/>
  <c r="H8" i="125"/>
  <c r="I8" i="125" s="1"/>
  <c r="C8" i="125"/>
  <c r="B8" i="125"/>
  <c r="N7" i="125"/>
  <c r="O7" i="125" s="1"/>
  <c r="J7" i="125"/>
  <c r="H7" i="125"/>
  <c r="I7" i="125" s="1"/>
  <c r="K7" i="125" s="1"/>
  <c r="C7" i="125"/>
  <c r="B7" i="125"/>
  <c r="N6" i="125"/>
  <c r="O6" i="125" s="1"/>
  <c r="J6" i="125"/>
  <c r="H6" i="125"/>
  <c r="I6" i="125" s="1"/>
  <c r="C6" i="125"/>
  <c r="B6" i="125"/>
  <c r="N5" i="125"/>
  <c r="O5" i="125" s="1"/>
  <c r="J5" i="125"/>
  <c r="H5" i="125"/>
  <c r="I5" i="125" s="1"/>
  <c r="C5" i="125"/>
  <c r="B5" i="125"/>
  <c r="I14" i="124"/>
  <c r="O26" i="123"/>
  <c r="O25" i="123"/>
  <c r="I14" i="123"/>
  <c r="N9" i="123"/>
  <c r="O9" i="123" s="1"/>
  <c r="J9" i="123"/>
  <c r="H9" i="123"/>
  <c r="I9" i="123" s="1"/>
  <c r="C9" i="123"/>
  <c r="B9" i="123"/>
  <c r="N8" i="123"/>
  <c r="O8" i="123" s="1"/>
  <c r="J8" i="123"/>
  <c r="H8" i="123"/>
  <c r="I8" i="123" s="1"/>
  <c r="C8" i="123"/>
  <c r="B8" i="123"/>
  <c r="N7" i="123"/>
  <c r="O7" i="123" s="1"/>
  <c r="J7" i="123"/>
  <c r="H7" i="123"/>
  <c r="I7" i="123" s="1"/>
  <c r="C7" i="123"/>
  <c r="B7" i="123"/>
  <c r="N6" i="123"/>
  <c r="O6" i="123" s="1"/>
  <c r="J6" i="123"/>
  <c r="H6" i="123"/>
  <c r="I6" i="123" s="1"/>
  <c r="C6" i="123"/>
  <c r="B6" i="123"/>
  <c r="N5" i="123"/>
  <c r="O5" i="123" s="1"/>
  <c r="J5" i="123"/>
  <c r="H5" i="123"/>
  <c r="I5" i="123" s="1"/>
  <c r="C5" i="123"/>
  <c r="B5" i="123"/>
  <c r="I14" i="122"/>
  <c r="J6" i="122"/>
  <c r="C6" i="122"/>
  <c r="B6" i="122"/>
  <c r="J5" i="122"/>
  <c r="C5" i="122"/>
  <c r="B5" i="122"/>
  <c r="O38" i="130"/>
  <c r="M38" i="130"/>
  <c r="H38" i="130" s="1"/>
  <c r="I38" i="130" s="1"/>
  <c r="J38" i="130"/>
  <c r="O37" i="130"/>
  <c r="M37" i="130"/>
  <c r="H37" i="130" s="1"/>
  <c r="I37" i="130" s="1"/>
  <c r="J37" i="130"/>
  <c r="O36" i="130"/>
  <c r="M36" i="130"/>
  <c r="J36" i="130"/>
  <c r="O35" i="130"/>
  <c r="M35" i="130"/>
  <c r="H35" i="130" s="1"/>
  <c r="I35" i="130" s="1"/>
  <c r="J35" i="130"/>
  <c r="O34" i="130"/>
  <c r="M34" i="130"/>
  <c r="J34" i="130"/>
  <c r="O33" i="130"/>
  <c r="M33" i="130"/>
  <c r="H33" i="130" s="1"/>
  <c r="I33" i="130" s="1"/>
  <c r="J33" i="130"/>
  <c r="O32" i="130"/>
  <c r="M32" i="130"/>
  <c r="H32" i="130" s="1"/>
  <c r="I32" i="130" s="1"/>
  <c r="J32" i="130"/>
  <c r="O31" i="130"/>
  <c r="M31" i="130"/>
  <c r="J31" i="130"/>
  <c r="O30" i="130"/>
  <c r="M30" i="130"/>
  <c r="H30" i="130" s="1"/>
  <c r="I30" i="130" s="1"/>
  <c r="J30" i="130"/>
  <c r="M29" i="130"/>
  <c r="J29" i="130"/>
  <c r="O28" i="130"/>
  <c r="M28" i="130"/>
  <c r="H28" i="130" s="1"/>
  <c r="I28" i="130" s="1"/>
  <c r="J28" i="130"/>
  <c r="O27" i="130"/>
  <c r="M27" i="130"/>
  <c r="J27" i="130"/>
  <c r="O26" i="130"/>
  <c r="M26" i="130"/>
  <c r="H26" i="130" s="1"/>
  <c r="I26" i="130" s="1"/>
  <c r="J26" i="130"/>
  <c r="M25" i="130"/>
  <c r="J25" i="130"/>
  <c r="O24" i="130"/>
  <c r="M24" i="130"/>
  <c r="J24" i="130"/>
  <c r="O23" i="130"/>
  <c r="M23" i="130"/>
  <c r="H23" i="130" s="1"/>
  <c r="I23" i="130" s="1"/>
  <c r="J23" i="130"/>
  <c r="O22" i="130"/>
  <c r="M22" i="130"/>
  <c r="H22" i="130" s="1"/>
  <c r="I22" i="130" s="1"/>
  <c r="J22" i="130"/>
  <c r="O21" i="130"/>
  <c r="M21" i="130"/>
  <c r="H21" i="130" s="1"/>
  <c r="I21" i="130" s="1"/>
  <c r="J21" i="130"/>
  <c r="B21" i="130"/>
  <c r="B22" i="130" s="1"/>
  <c r="B23" i="130" s="1"/>
  <c r="B24" i="130" s="1"/>
  <c r="B25" i="130" s="1"/>
  <c r="B26" i="130" s="1"/>
  <c r="B27" i="130" s="1"/>
  <c r="B28" i="130" s="1"/>
  <c r="B29" i="130" s="1"/>
  <c r="B30" i="130" s="1"/>
  <c r="B31" i="130" s="1"/>
  <c r="B32" i="130" s="1"/>
  <c r="B33" i="130" s="1"/>
  <c r="B34" i="130" s="1"/>
  <c r="B35" i="130" s="1"/>
  <c r="B36" i="130" s="1"/>
  <c r="B37" i="130" s="1"/>
  <c r="B38" i="130" s="1"/>
  <c r="B39" i="130" s="1"/>
  <c r="B40" i="130" s="1"/>
  <c r="B41" i="130" s="1"/>
  <c r="B42" i="130" s="1"/>
  <c r="B43" i="130" s="1"/>
  <c r="B44" i="130" s="1"/>
  <c r="B45" i="130" s="1"/>
  <c r="B46" i="130" s="1"/>
  <c r="B47" i="130" s="1"/>
  <c r="O20" i="130"/>
  <c r="M20" i="130"/>
  <c r="H20" i="130" s="1"/>
  <c r="I20" i="130" s="1"/>
  <c r="J20" i="130"/>
  <c r="O15" i="130"/>
  <c r="J15" i="130"/>
  <c r="I15" i="130"/>
  <c r="B15" i="130"/>
  <c r="O14" i="130"/>
  <c r="J14" i="130"/>
  <c r="N4" i="130"/>
  <c r="O4" i="130" s="1"/>
  <c r="J4" i="130"/>
  <c r="H4" i="130"/>
  <c r="I4" i="130" s="1"/>
  <c r="C4" i="130"/>
  <c r="B4" i="130"/>
  <c r="N3" i="130"/>
  <c r="O3" i="130" s="1"/>
  <c r="J3" i="130"/>
  <c r="H3" i="130"/>
  <c r="I3" i="130" s="1"/>
  <c r="C3" i="130"/>
  <c r="B3" i="130"/>
  <c r="H1" i="130"/>
  <c r="O38" i="129"/>
  <c r="M38" i="129"/>
  <c r="H38" i="129" s="1"/>
  <c r="I38" i="129" s="1"/>
  <c r="J38" i="129"/>
  <c r="M37" i="129"/>
  <c r="H37" i="129" s="1"/>
  <c r="I37" i="129" s="1"/>
  <c r="J37" i="129"/>
  <c r="O36" i="129"/>
  <c r="M36" i="129"/>
  <c r="J36" i="129"/>
  <c r="M35" i="129"/>
  <c r="J35" i="129"/>
  <c r="M34" i="129"/>
  <c r="H34" i="129" s="1"/>
  <c r="I34" i="129" s="1"/>
  <c r="J34" i="129"/>
  <c r="O33" i="129"/>
  <c r="M33" i="129"/>
  <c r="H33" i="129" s="1"/>
  <c r="I33" i="129" s="1"/>
  <c r="J33" i="129"/>
  <c r="O32" i="129"/>
  <c r="M32" i="129"/>
  <c r="H32" i="129" s="1"/>
  <c r="I32" i="129" s="1"/>
  <c r="J32" i="129"/>
  <c r="O31" i="129"/>
  <c r="M31" i="129"/>
  <c r="H31" i="129" s="1"/>
  <c r="I31" i="129" s="1"/>
  <c r="J31" i="129"/>
  <c r="O30" i="129"/>
  <c r="M30" i="129"/>
  <c r="H30" i="129" s="1"/>
  <c r="I30" i="129" s="1"/>
  <c r="J30" i="129"/>
  <c r="O29" i="129"/>
  <c r="M29" i="129"/>
  <c r="H29" i="129" s="1"/>
  <c r="I29" i="129" s="1"/>
  <c r="J29" i="129"/>
  <c r="O28" i="129"/>
  <c r="M28" i="129"/>
  <c r="H28" i="129" s="1"/>
  <c r="I28" i="129" s="1"/>
  <c r="J28" i="129"/>
  <c r="O27" i="129"/>
  <c r="M27" i="129"/>
  <c r="H27" i="129" s="1"/>
  <c r="I27" i="129" s="1"/>
  <c r="J27" i="129"/>
  <c r="O26" i="129"/>
  <c r="M26" i="129"/>
  <c r="H26" i="129" s="1"/>
  <c r="I26" i="129" s="1"/>
  <c r="J26" i="129"/>
  <c r="M25" i="129"/>
  <c r="J25" i="129"/>
  <c r="M24" i="129"/>
  <c r="J24" i="129"/>
  <c r="O23" i="129"/>
  <c r="M23" i="129"/>
  <c r="H23" i="129" s="1"/>
  <c r="I23" i="129" s="1"/>
  <c r="J23" i="129"/>
  <c r="O22" i="129"/>
  <c r="M22" i="129"/>
  <c r="H22" i="129" s="1"/>
  <c r="I22" i="129" s="1"/>
  <c r="J22" i="129"/>
  <c r="O21" i="129"/>
  <c r="M21" i="129"/>
  <c r="H21" i="129" s="1"/>
  <c r="I21" i="129" s="1"/>
  <c r="J21" i="129"/>
  <c r="B21" i="129"/>
  <c r="B22" i="129" s="1"/>
  <c r="B23" i="129" s="1"/>
  <c r="B24" i="129" s="1"/>
  <c r="B25" i="129" s="1"/>
  <c r="B26" i="129" s="1"/>
  <c r="B27" i="129" s="1"/>
  <c r="B28" i="129" s="1"/>
  <c r="B29" i="129" s="1"/>
  <c r="B30" i="129" s="1"/>
  <c r="B31" i="129" s="1"/>
  <c r="B32" i="129" s="1"/>
  <c r="B33" i="129" s="1"/>
  <c r="B34" i="129" s="1"/>
  <c r="B35" i="129" s="1"/>
  <c r="B36" i="129" s="1"/>
  <c r="B37" i="129" s="1"/>
  <c r="B38" i="129" s="1"/>
  <c r="B39" i="129" s="1"/>
  <c r="B40" i="129" s="1"/>
  <c r="B41" i="129" s="1"/>
  <c r="B42" i="129" s="1"/>
  <c r="B43" i="129" s="1"/>
  <c r="B44" i="129" s="1"/>
  <c r="B45" i="129" s="1"/>
  <c r="B46" i="129" s="1"/>
  <c r="B47" i="129" s="1"/>
  <c r="O20" i="129"/>
  <c r="M20" i="129"/>
  <c r="H20" i="129" s="1"/>
  <c r="I20" i="129" s="1"/>
  <c r="J20" i="129"/>
  <c r="O15" i="129"/>
  <c r="J15" i="129"/>
  <c r="I15" i="129"/>
  <c r="B15" i="129"/>
  <c r="O14" i="129"/>
  <c r="J14" i="129"/>
  <c r="N4" i="129"/>
  <c r="O4" i="129" s="1"/>
  <c r="J4" i="129"/>
  <c r="H4" i="129"/>
  <c r="I4" i="129" s="1"/>
  <c r="C4" i="129"/>
  <c r="B4" i="129"/>
  <c r="N3" i="129"/>
  <c r="O3" i="129" s="1"/>
  <c r="J3" i="129"/>
  <c r="H3" i="129"/>
  <c r="I3" i="129" s="1"/>
  <c r="C3" i="129"/>
  <c r="B3" i="129"/>
  <c r="H1" i="129"/>
  <c r="O38" i="128"/>
  <c r="M38" i="128"/>
  <c r="H38" i="128" s="1"/>
  <c r="I38" i="128" s="1"/>
  <c r="J38" i="128"/>
  <c r="M37" i="128"/>
  <c r="J37" i="128"/>
  <c r="M36" i="128"/>
  <c r="J36" i="128"/>
  <c r="O35" i="128"/>
  <c r="M35" i="128"/>
  <c r="J35" i="128"/>
  <c r="M34" i="128"/>
  <c r="J34" i="128"/>
  <c r="O33" i="128"/>
  <c r="M33" i="128"/>
  <c r="H33" i="128" s="1"/>
  <c r="I33" i="128" s="1"/>
  <c r="J33" i="128"/>
  <c r="M32" i="128"/>
  <c r="J32" i="128"/>
  <c r="M31" i="128"/>
  <c r="J31" i="128"/>
  <c r="O30" i="128"/>
  <c r="M30" i="128"/>
  <c r="H30" i="128" s="1"/>
  <c r="I30" i="128" s="1"/>
  <c r="J30" i="128"/>
  <c r="O29" i="128"/>
  <c r="M29" i="128"/>
  <c r="J29" i="128"/>
  <c r="O28" i="128"/>
  <c r="M28" i="128"/>
  <c r="H28" i="128" s="1"/>
  <c r="I28" i="128" s="1"/>
  <c r="J28" i="128"/>
  <c r="O27" i="128"/>
  <c r="M27" i="128"/>
  <c r="J27" i="128"/>
  <c r="O26" i="128"/>
  <c r="M26" i="128"/>
  <c r="H26" i="128" s="1"/>
  <c r="I26" i="128" s="1"/>
  <c r="J26" i="128"/>
  <c r="M25" i="128"/>
  <c r="J25" i="128"/>
  <c r="O24" i="128"/>
  <c r="M24" i="128"/>
  <c r="J24" i="128"/>
  <c r="O23" i="128"/>
  <c r="M23" i="128"/>
  <c r="H23" i="128" s="1"/>
  <c r="I23" i="128" s="1"/>
  <c r="J23" i="128"/>
  <c r="O22" i="128"/>
  <c r="M22" i="128"/>
  <c r="H22" i="128" s="1"/>
  <c r="I22" i="128" s="1"/>
  <c r="J22" i="128"/>
  <c r="O21" i="128"/>
  <c r="M21" i="128"/>
  <c r="H21" i="128" s="1"/>
  <c r="I21" i="128" s="1"/>
  <c r="J21" i="128"/>
  <c r="B21" i="128"/>
  <c r="B22" i="128" s="1"/>
  <c r="B23" i="128" s="1"/>
  <c r="B24" i="128" s="1"/>
  <c r="B25" i="128" s="1"/>
  <c r="B26" i="128" s="1"/>
  <c r="B27" i="128" s="1"/>
  <c r="B28" i="128" s="1"/>
  <c r="B29" i="128" s="1"/>
  <c r="B30" i="128" s="1"/>
  <c r="B31" i="128" s="1"/>
  <c r="B32" i="128" s="1"/>
  <c r="B33" i="128" s="1"/>
  <c r="B34" i="128" s="1"/>
  <c r="B35" i="128" s="1"/>
  <c r="B36" i="128" s="1"/>
  <c r="B37" i="128" s="1"/>
  <c r="B38" i="128" s="1"/>
  <c r="B39" i="128" s="1"/>
  <c r="B40" i="128" s="1"/>
  <c r="B41" i="128" s="1"/>
  <c r="B42" i="128" s="1"/>
  <c r="B43" i="128" s="1"/>
  <c r="B44" i="128" s="1"/>
  <c r="B45" i="128" s="1"/>
  <c r="B46" i="128" s="1"/>
  <c r="B47" i="128" s="1"/>
  <c r="O20" i="128"/>
  <c r="M20" i="128"/>
  <c r="H20" i="128" s="1"/>
  <c r="I20" i="128" s="1"/>
  <c r="J20" i="128"/>
  <c r="O15" i="128"/>
  <c r="J15" i="128"/>
  <c r="I15" i="128"/>
  <c r="B15" i="128"/>
  <c r="O14" i="128"/>
  <c r="J14" i="128"/>
  <c r="N4" i="128"/>
  <c r="O4" i="128" s="1"/>
  <c r="J4" i="128"/>
  <c r="H4" i="128"/>
  <c r="I4" i="128" s="1"/>
  <c r="C4" i="128"/>
  <c r="B4" i="128"/>
  <c r="N3" i="128"/>
  <c r="O3" i="128" s="1"/>
  <c r="J3" i="128"/>
  <c r="H3" i="128"/>
  <c r="I3" i="128" s="1"/>
  <c r="C3" i="128"/>
  <c r="B3" i="128"/>
  <c r="H1" i="128"/>
  <c r="O38" i="127"/>
  <c r="M38" i="127"/>
  <c r="H38" i="127" s="1"/>
  <c r="I38" i="127" s="1"/>
  <c r="J38" i="127"/>
  <c r="O37" i="127"/>
  <c r="M37" i="127"/>
  <c r="H37" i="127" s="1"/>
  <c r="I37" i="127" s="1"/>
  <c r="J37" i="127"/>
  <c r="O36" i="127"/>
  <c r="M36" i="127"/>
  <c r="J36" i="127"/>
  <c r="O35" i="127"/>
  <c r="M35" i="127"/>
  <c r="H35" i="127" s="1"/>
  <c r="I35" i="127" s="1"/>
  <c r="J35" i="127"/>
  <c r="M34" i="127"/>
  <c r="H34" i="127" s="1"/>
  <c r="I34" i="127" s="1"/>
  <c r="J34" i="127"/>
  <c r="O33" i="127"/>
  <c r="M33" i="127"/>
  <c r="H33" i="127" s="1"/>
  <c r="I33" i="127" s="1"/>
  <c r="J33" i="127"/>
  <c r="O32" i="127"/>
  <c r="M32" i="127"/>
  <c r="H32" i="127" s="1"/>
  <c r="I32" i="127" s="1"/>
  <c r="J32" i="127"/>
  <c r="O31" i="127"/>
  <c r="M31" i="127"/>
  <c r="H31" i="127" s="1"/>
  <c r="I31" i="127" s="1"/>
  <c r="J31" i="127"/>
  <c r="O30" i="127"/>
  <c r="M30" i="127"/>
  <c r="H30" i="127" s="1"/>
  <c r="I30" i="127" s="1"/>
  <c r="J30" i="127"/>
  <c r="O29" i="127"/>
  <c r="M29" i="127"/>
  <c r="H29" i="127" s="1"/>
  <c r="I29" i="127" s="1"/>
  <c r="J29" i="127"/>
  <c r="O28" i="127"/>
  <c r="M28" i="127"/>
  <c r="H28" i="127" s="1"/>
  <c r="I28" i="127" s="1"/>
  <c r="J28" i="127"/>
  <c r="O27" i="127"/>
  <c r="M27" i="127"/>
  <c r="H27" i="127" s="1"/>
  <c r="I27" i="127" s="1"/>
  <c r="J27" i="127"/>
  <c r="O26" i="127"/>
  <c r="M26" i="127"/>
  <c r="H26" i="127" s="1"/>
  <c r="I26" i="127" s="1"/>
  <c r="J26" i="127"/>
  <c r="O25" i="127"/>
  <c r="M25" i="127"/>
  <c r="H25" i="127" s="1"/>
  <c r="I25" i="127" s="1"/>
  <c r="J25" i="127"/>
  <c r="O24" i="127"/>
  <c r="M24" i="127"/>
  <c r="H24" i="127" s="1"/>
  <c r="I24" i="127" s="1"/>
  <c r="J24" i="127"/>
  <c r="O23" i="127"/>
  <c r="M23" i="127"/>
  <c r="H23" i="127" s="1"/>
  <c r="I23" i="127" s="1"/>
  <c r="J23" i="127"/>
  <c r="O22" i="127"/>
  <c r="M22" i="127"/>
  <c r="H22" i="127" s="1"/>
  <c r="I22" i="127" s="1"/>
  <c r="J22" i="127"/>
  <c r="O21" i="127"/>
  <c r="M21" i="127"/>
  <c r="H21" i="127" s="1"/>
  <c r="I21" i="127" s="1"/>
  <c r="J21" i="127"/>
  <c r="B21" i="127"/>
  <c r="B22" i="127" s="1"/>
  <c r="B23" i="127" s="1"/>
  <c r="B24" i="127" s="1"/>
  <c r="B25" i="127" s="1"/>
  <c r="B26" i="127" s="1"/>
  <c r="B27" i="127" s="1"/>
  <c r="B28" i="127" s="1"/>
  <c r="B29" i="127" s="1"/>
  <c r="B30" i="127" s="1"/>
  <c r="B31" i="127" s="1"/>
  <c r="B32" i="127" s="1"/>
  <c r="B33" i="127" s="1"/>
  <c r="B34" i="127" s="1"/>
  <c r="B35" i="127" s="1"/>
  <c r="B36" i="127" s="1"/>
  <c r="B37" i="127" s="1"/>
  <c r="B38" i="127" s="1"/>
  <c r="B39" i="127" s="1"/>
  <c r="B40" i="127" s="1"/>
  <c r="B41" i="127" s="1"/>
  <c r="B42" i="127" s="1"/>
  <c r="B43" i="127" s="1"/>
  <c r="B44" i="127" s="1"/>
  <c r="B45" i="127" s="1"/>
  <c r="B46" i="127" s="1"/>
  <c r="B47" i="127" s="1"/>
  <c r="O20" i="127"/>
  <c r="M20" i="127"/>
  <c r="H20" i="127" s="1"/>
  <c r="I20" i="127" s="1"/>
  <c r="J20" i="127"/>
  <c r="O15" i="127"/>
  <c r="J15" i="127"/>
  <c r="I15" i="127"/>
  <c r="B15" i="127"/>
  <c r="O14" i="127"/>
  <c r="J14" i="127"/>
  <c r="N4" i="127"/>
  <c r="O4" i="127" s="1"/>
  <c r="J4" i="127"/>
  <c r="H4" i="127"/>
  <c r="I4" i="127" s="1"/>
  <c r="C4" i="127"/>
  <c r="B4" i="127"/>
  <c r="N3" i="127"/>
  <c r="O3" i="127" s="1"/>
  <c r="J3" i="127"/>
  <c r="H3" i="127"/>
  <c r="I3" i="127" s="1"/>
  <c r="C3" i="127"/>
  <c r="B3" i="127"/>
  <c r="H1" i="127"/>
  <c r="O38" i="126"/>
  <c r="M38" i="126"/>
  <c r="H38" i="126" s="1"/>
  <c r="I38" i="126" s="1"/>
  <c r="J38" i="126"/>
  <c r="O37" i="126"/>
  <c r="M37" i="126"/>
  <c r="H37" i="126" s="1"/>
  <c r="I37" i="126" s="1"/>
  <c r="J37" i="126"/>
  <c r="M36" i="126"/>
  <c r="H36" i="126" s="1"/>
  <c r="I36" i="126" s="1"/>
  <c r="J36" i="126"/>
  <c r="O35" i="126"/>
  <c r="M35" i="126"/>
  <c r="H35" i="126" s="1"/>
  <c r="I35" i="126" s="1"/>
  <c r="J35" i="126"/>
  <c r="M34" i="126"/>
  <c r="H34" i="126" s="1"/>
  <c r="I34" i="126" s="1"/>
  <c r="J34" i="126"/>
  <c r="O33" i="126"/>
  <c r="M33" i="126"/>
  <c r="H33" i="126" s="1"/>
  <c r="J33" i="126"/>
  <c r="O32" i="126"/>
  <c r="M32" i="126"/>
  <c r="H32" i="126" s="1"/>
  <c r="J32" i="126"/>
  <c r="O31" i="126"/>
  <c r="M31" i="126"/>
  <c r="J31" i="126"/>
  <c r="O30" i="126"/>
  <c r="M30" i="126"/>
  <c r="H30" i="126" s="1"/>
  <c r="J30" i="126"/>
  <c r="O29" i="126"/>
  <c r="M29" i="126"/>
  <c r="H29" i="126" s="1"/>
  <c r="J29" i="126"/>
  <c r="O28" i="126"/>
  <c r="M28" i="126"/>
  <c r="H28" i="126" s="1"/>
  <c r="J28" i="126"/>
  <c r="O27" i="126"/>
  <c r="M27" i="126"/>
  <c r="H27" i="126" s="1"/>
  <c r="J27" i="126"/>
  <c r="O26" i="126"/>
  <c r="M26" i="126"/>
  <c r="H26" i="126" s="1"/>
  <c r="I26" i="126" s="1"/>
  <c r="J26" i="126"/>
  <c r="O25" i="126"/>
  <c r="M25" i="126"/>
  <c r="H25" i="126" s="1"/>
  <c r="J25" i="126"/>
  <c r="O24" i="126"/>
  <c r="M24" i="126"/>
  <c r="H24" i="126" s="1"/>
  <c r="J24" i="126"/>
  <c r="O23" i="126"/>
  <c r="M23" i="126"/>
  <c r="H23" i="126" s="1"/>
  <c r="J23" i="126"/>
  <c r="O22" i="126"/>
  <c r="M22" i="126"/>
  <c r="H22" i="126" s="1"/>
  <c r="I22" i="126" s="1"/>
  <c r="J22" i="126"/>
  <c r="O21" i="126"/>
  <c r="M21" i="126"/>
  <c r="H21" i="126" s="1"/>
  <c r="J21" i="126"/>
  <c r="B21" i="126"/>
  <c r="B22" i="126" s="1"/>
  <c r="B23" i="126" s="1"/>
  <c r="B24" i="126" s="1"/>
  <c r="B25" i="126" s="1"/>
  <c r="B26" i="126" s="1"/>
  <c r="B27" i="126" s="1"/>
  <c r="B28" i="126" s="1"/>
  <c r="B29" i="126" s="1"/>
  <c r="B30" i="126" s="1"/>
  <c r="B31" i="126" s="1"/>
  <c r="B32" i="126" s="1"/>
  <c r="B33" i="126" s="1"/>
  <c r="B34" i="126" s="1"/>
  <c r="B35" i="126" s="1"/>
  <c r="B36" i="126" s="1"/>
  <c r="B37" i="126" s="1"/>
  <c r="B38" i="126" s="1"/>
  <c r="B39" i="126" s="1"/>
  <c r="B40" i="126" s="1"/>
  <c r="B41" i="126" s="1"/>
  <c r="B42" i="126" s="1"/>
  <c r="B43" i="126" s="1"/>
  <c r="B44" i="126" s="1"/>
  <c r="B45" i="126" s="1"/>
  <c r="B46" i="126" s="1"/>
  <c r="B47" i="126" s="1"/>
  <c r="O20" i="126"/>
  <c r="M20" i="126"/>
  <c r="H20" i="126" s="1"/>
  <c r="J20" i="126"/>
  <c r="O15" i="126"/>
  <c r="J15" i="126"/>
  <c r="I15" i="126"/>
  <c r="B15" i="126"/>
  <c r="O14" i="126"/>
  <c r="J14" i="126"/>
  <c r="N4" i="126"/>
  <c r="O4" i="126" s="1"/>
  <c r="J4" i="126"/>
  <c r="H4" i="126"/>
  <c r="I4" i="126" s="1"/>
  <c r="C4" i="126"/>
  <c r="B4" i="126"/>
  <c r="N3" i="126"/>
  <c r="O3" i="126" s="1"/>
  <c r="J3" i="126"/>
  <c r="H3" i="126"/>
  <c r="I3" i="126" s="1"/>
  <c r="C3" i="126"/>
  <c r="B3" i="126"/>
  <c r="H1" i="126"/>
  <c r="O39" i="125"/>
  <c r="M39" i="125"/>
  <c r="H39" i="125" s="1"/>
  <c r="I39" i="125" s="1"/>
  <c r="J39" i="125"/>
  <c r="O38" i="125"/>
  <c r="M38" i="125"/>
  <c r="J38" i="125"/>
  <c r="M37" i="125"/>
  <c r="H37" i="125" s="1"/>
  <c r="I37" i="125" s="1"/>
  <c r="J37" i="125"/>
  <c r="O36" i="125"/>
  <c r="M36" i="125"/>
  <c r="H36" i="125" s="1"/>
  <c r="I36" i="125" s="1"/>
  <c r="J36" i="125"/>
  <c r="M35" i="125"/>
  <c r="J35" i="125"/>
  <c r="M34" i="125"/>
  <c r="J34" i="125"/>
  <c r="O33" i="125"/>
  <c r="M33" i="125"/>
  <c r="H33" i="125" s="1"/>
  <c r="I33" i="125" s="1"/>
  <c r="J33" i="125"/>
  <c r="O32" i="125"/>
  <c r="M32" i="125"/>
  <c r="H32" i="125" s="1"/>
  <c r="I32" i="125" s="1"/>
  <c r="J32" i="125"/>
  <c r="O31" i="125"/>
  <c r="M31" i="125"/>
  <c r="H31" i="125" s="1"/>
  <c r="I31" i="125" s="1"/>
  <c r="J31" i="125"/>
  <c r="O30" i="125"/>
  <c r="M30" i="125"/>
  <c r="H30" i="125" s="1"/>
  <c r="I30" i="125" s="1"/>
  <c r="J30" i="125"/>
  <c r="M29" i="125"/>
  <c r="J29" i="125"/>
  <c r="M27" i="125"/>
  <c r="J27" i="125"/>
  <c r="O26" i="125"/>
  <c r="M26" i="125"/>
  <c r="H26" i="125" s="1"/>
  <c r="I26" i="125" s="1"/>
  <c r="J26" i="125"/>
  <c r="O25" i="125"/>
  <c r="M25" i="125"/>
  <c r="H25" i="125" s="1"/>
  <c r="I25" i="125" s="1"/>
  <c r="J25" i="125"/>
  <c r="O24" i="125"/>
  <c r="M24" i="125"/>
  <c r="H24" i="125" s="1"/>
  <c r="I24" i="125" s="1"/>
  <c r="J24" i="125"/>
  <c r="O23" i="125"/>
  <c r="M23" i="125"/>
  <c r="H23" i="125" s="1"/>
  <c r="I23" i="125" s="1"/>
  <c r="J23" i="125"/>
  <c r="O22" i="125"/>
  <c r="M22" i="125"/>
  <c r="H22" i="125" s="1"/>
  <c r="I22" i="125" s="1"/>
  <c r="J22" i="125"/>
  <c r="O21" i="125"/>
  <c r="M21" i="125"/>
  <c r="H21" i="125" s="1"/>
  <c r="I21" i="125" s="1"/>
  <c r="J21" i="125"/>
  <c r="B21" i="125"/>
  <c r="B22" i="125" s="1"/>
  <c r="B23" i="125" s="1"/>
  <c r="B24" i="125" s="1"/>
  <c r="B25" i="125" s="1"/>
  <c r="B26" i="125" s="1"/>
  <c r="B27" i="125" s="1"/>
  <c r="B28" i="125" s="1"/>
  <c r="B29" i="125" s="1"/>
  <c r="B30" i="125" s="1"/>
  <c r="B31" i="125" s="1"/>
  <c r="B32" i="125" s="1"/>
  <c r="B33" i="125" s="1"/>
  <c r="B34" i="125" s="1"/>
  <c r="B35" i="125" s="1"/>
  <c r="B36" i="125" s="1"/>
  <c r="B37" i="125" s="1"/>
  <c r="B38" i="125" s="1"/>
  <c r="B39" i="125" s="1"/>
  <c r="B40" i="125" s="1"/>
  <c r="B41" i="125" s="1"/>
  <c r="B42" i="125" s="1"/>
  <c r="B43" i="125" s="1"/>
  <c r="B44" i="125" s="1"/>
  <c r="B45" i="125" s="1"/>
  <c r="B46" i="125" s="1"/>
  <c r="B47" i="125" s="1"/>
  <c r="O20" i="125"/>
  <c r="M20" i="125"/>
  <c r="H20" i="125" s="1"/>
  <c r="I20" i="125" s="1"/>
  <c r="J20" i="125"/>
  <c r="O15" i="125"/>
  <c r="J15" i="125"/>
  <c r="B15" i="125"/>
  <c r="O14" i="125"/>
  <c r="J14" i="125"/>
  <c r="N4" i="125"/>
  <c r="O4" i="125" s="1"/>
  <c r="J4" i="125"/>
  <c r="H4" i="125"/>
  <c r="I4" i="125" s="1"/>
  <c r="C4" i="125"/>
  <c r="B4" i="125"/>
  <c r="N3" i="125"/>
  <c r="O3" i="125" s="1"/>
  <c r="J3" i="125"/>
  <c r="H3" i="125"/>
  <c r="I3" i="125" s="1"/>
  <c r="C3" i="125"/>
  <c r="B3" i="125"/>
  <c r="H1" i="125"/>
  <c r="O38" i="124"/>
  <c r="M38" i="124"/>
  <c r="H38" i="124" s="1"/>
  <c r="I38" i="124" s="1"/>
  <c r="J38" i="124"/>
  <c r="O37" i="124"/>
  <c r="M37" i="124"/>
  <c r="H37" i="124" s="1"/>
  <c r="I37" i="124" s="1"/>
  <c r="J37" i="124"/>
  <c r="O36" i="124"/>
  <c r="M36" i="124"/>
  <c r="J36" i="124"/>
  <c r="O35" i="124"/>
  <c r="M35" i="124"/>
  <c r="H35" i="124" s="1"/>
  <c r="I35" i="124" s="1"/>
  <c r="J35" i="124"/>
  <c r="O34" i="124"/>
  <c r="M34" i="124"/>
  <c r="J34" i="124"/>
  <c r="O33" i="124"/>
  <c r="M33" i="124"/>
  <c r="H33" i="124" s="1"/>
  <c r="I33" i="124" s="1"/>
  <c r="J33" i="124"/>
  <c r="O32" i="124"/>
  <c r="M32" i="124"/>
  <c r="H32" i="124" s="1"/>
  <c r="I32" i="124" s="1"/>
  <c r="J32" i="124"/>
  <c r="O31" i="124"/>
  <c r="M31" i="124"/>
  <c r="H31" i="124" s="1"/>
  <c r="I31" i="124" s="1"/>
  <c r="J31" i="124"/>
  <c r="O30" i="124"/>
  <c r="M30" i="124"/>
  <c r="H30" i="124" s="1"/>
  <c r="I30" i="124" s="1"/>
  <c r="J30" i="124"/>
  <c r="O29" i="124"/>
  <c r="M29" i="124"/>
  <c r="H29" i="124" s="1"/>
  <c r="I29" i="124" s="1"/>
  <c r="J29" i="124"/>
  <c r="O28" i="124"/>
  <c r="M28" i="124"/>
  <c r="J28" i="124"/>
  <c r="O27" i="124"/>
  <c r="M27" i="124"/>
  <c r="H27" i="124" s="1"/>
  <c r="I27" i="124" s="1"/>
  <c r="J27" i="124"/>
  <c r="O26" i="124"/>
  <c r="M26" i="124"/>
  <c r="H26" i="124" s="1"/>
  <c r="I26" i="124" s="1"/>
  <c r="J26" i="124"/>
  <c r="O25" i="124"/>
  <c r="M25" i="124"/>
  <c r="H25" i="124" s="1"/>
  <c r="I25" i="124" s="1"/>
  <c r="J25" i="124"/>
  <c r="O24" i="124"/>
  <c r="M24" i="124"/>
  <c r="H24" i="124" s="1"/>
  <c r="I24" i="124" s="1"/>
  <c r="J24" i="124"/>
  <c r="O23" i="124"/>
  <c r="M23" i="124"/>
  <c r="H23" i="124" s="1"/>
  <c r="I23" i="124" s="1"/>
  <c r="J23" i="124"/>
  <c r="O22" i="124"/>
  <c r="M22" i="124"/>
  <c r="H22" i="124" s="1"/>
  <c r="I22" i="124" s="1"/>
  <c r="J22" i="124"/>
  <c r="O21" i="124"/>
  <c r="M21" i="124"/>
  <c r="H21" i="124" s="1"/>
  <c r="I21" i="124" s="1"/>
  <c r="J21" i="124"/>
  <c r="B21" i="124"/>
  <c r="B22" i="124" s="1"/>
  <c r="B23" i="124" s="1"/>
  <c r="B24" i="124" s="1"/>
  <c r="B25" i="124" s="1"/>
  <c r="B26" i="124" s="1"/>
  <c r="B27" i="124" s="1"/>
  <c r="B28" i="124" s="1"/>
  <c r="B29" i="124" s="1"/>
  <c r="B30" i="124" s="1"/>
  <c r="B31" i="124" s="1"/>
  <c r="B32" i="124" s="1"/>
  <c r="B33" i="124" s="1"/>
  <c r="B34" i="124" s="1"/>
  <c r="B35" i="124" s="1"/>
  <c r="B36" i="124" s="1"/>
  <c r="B37" i="124" s="1"/>
  <c r="B38" i="124" s="1"/>
  <c r="B39" i="124" s="1"/>
  <c r="B40" i="124" s="1"/>
  <c r="B41" i="124" s="1"/>
  <c r="B42" i="124" s="1"/>
  <c r="B43" i="124" s="1"/>
  <c r="B44" i="124" s="1"/>
  <c r="B45" i="124" s="1"/>
  <c r="B46" i="124" s="1"/>
  <c r="B47" i="124" s="1"/>
  <c r="O20" i="124"/>
  <c r="M20" i="124"/>
  <c r="H20" i="124" s="1"/>
  <c r="I20" i="124" s="1"/>
  <c r="J20" i="124"/>
  <c r="O15" i="124"/>
  <c r="J15" i="124"/>
  <c r="I15" i="124"/>
  <c r="B15" i="124"/>
  <c r="O14" i="124"/>
  <c r="J14" i="124"/>
  <c r="N4" i="124"/>
  <c r="O4" i="124" s="1"/>
  <c r="J4" i="124"/>
  <c r="H4" i="124"/>
  <c r="I4" i="124" s="1"/>
  <c r="C4" i="124"/>
  <c r="B4" i="124"/>
  <c r="N3" i="124"/>
  <c r="O3" i="124" s="1"/>
  <c r="J3" i="124"/>
  <c r="H3" i="124"/>
  <c r="I3" i="124" s="1"/>
  <c r="C3" i="124"/>
  <c r="B3" i="124"/>
  <c r="H1" i="124"/>
  <c r="O38" i="123"/>
  <c r="M38" i="123"/>
  <c r="H38" i="123" s="1"/>
  <c r="I38" i="123" s="1"/>
  <c r="J38" i="123"/>
  <c r="O37" i="123"/>
  <c r="M37" i="123"/>
  <c r="H37" i="123" s="1"/>
  <c r="I37" i="123" s="1"/>
  <c r="J37" i="123"/>
  <c r="O36" i="123"/>
  <c r="M36" i="123"/>
  <c r="J36" i="123"/>
  <c r="O35" i="123"/>
  <c r="M35" i="123"/>
  <c r="H35" i="123" s="1"/>
  <c r="I35" i="123" s="1"/>
  <c r="J35" i="123"/>
  <c r="M34" i="123"/>
  <c r="H34" i="123" s="1"/>
  <c r="I34" i="123" s="1"/>
  <c r="J34" i="123"/>
  <c r="O33" i="123"/>
  <c r="M33" i="123"/>
  <c r="H33" i="123" s="1"/>
  <c r="I33" i="123" s="1"/>
  <c r="J33" i="123"/>
  <c r="O32" i="123"/>
  <c r="M32" i="123"/>
  <c r="H32" i="123" s="1"/>
  <c r="I32" i="123" s="1"/>
  <c r="J32" i="123"/>
  <c r="O31" i="123"/>
  <c r="M31" i="123"/>
  <c r="H31" i="123" s="1"/>
  <c r="I31" i="123" s="1"/>
  <c r="J31" i="123"/>
  <c r="O30" i="123"/>
  <c r="M30" i="123"/>
  <c r="H30" i="123" s="1"/>
  <c r="I30" i="123" s="1"/>
  <c r="J30" i="123"/>
  <c r="O29" i="123"/>
  <c r="M29" i="123"/>
  <c r="H29" i="123" s="1"/>
  <c r="I29" i="123" s="1"/>
  <c r="J29" i="123"/>
  <c r="O28" i="123"/>
  <c r="M28" i="123"/>
  <c r="H28" i="123" s="1"/>
  <c r="I28" i="123" s="1"/>
  <c r="J28" i="123"/>
  <c r="O27" i="123"/>
  <c r="M27" i="123"/>
  <c r="H27" i="123" s="1"/>
  <c r="I27" i="123" s="1"/>
  <c r="J27" i="123"/>
  <c r="M26" i="123"/>
  <c r="J26" i="123"/>
  <c r="M25" i="123"/>
  <c r="H25" i="123" s="1"/>
  <c r="I25" i="123" s="1"/>
  <c r="J25" i="123"/>
  <c r="O24" i="123"/>
  <c r="M24" i="123"/>
  <c r="H24" i="123" s="1"/>
  <c r="I24" i="123" s="1"/>
  <c r="J24" i="123"/>
  <c r="O23" i="123"/>
  <c r="M23" i="123"/>
  <c r="H23" i="123" s="1"/>
  <c r="I23" i="123" s="1"/>
  <c r="J23" i="123"/>
  <c r="O22" i="123"/>
  <c r="M22" i="123"/>
  <c r="H22" i="123" s="1"/>
  <c r="I22" i="123" s="1"/>
  <c r="J22" i="123"/>
  <c r="O21" i="123"/>
  <c r="M21" i="123"/>
  <c r="H21" i="123" s="1"/>
  <c r="I21" i="123" s="1"/>
  <c r="J21" i="123"/>
  <c r="B21" i="123"/>
  <c r="B22" i="123" s="1"/>
  <c r="B23" i="123" s="1"/>
  <c r="B24" i="123" s="1"/>
  <c r="B25" i="123" s="1"/>
  <c r="B26" i="123" s="1"/>
  <c r="B27" i="123" s="1"/>
  <c r="B28" i="123" s="1"/>
  <c r="B29" i="123" s="1"/>
  <c r="B30" i="123" s="1"/>
  <c r="B31" i="123" s="1"/>
  <c r="B32" i="123" s="1"/>
  <c r="B33" i="123" s="1"/>
  <c r="B34" i="123" s="1"/>
  <c r="B35" i="123" s="1"/>
  <c r="B36" i="123" s="1"/>
  <c r="B37" i="123" s="1"/>
  <c r="B38" i="123" s="1"/>
  <c r="B39" i="123" s="1"/>
  <c r="B40" i="123" s="1"/>
  <c r="B41" i="123" s="1"/>
  <c r="B42" i="123" s="1"/>
  <c r="B43" i="123" s="1"/>
  <c r="B44" i="123" s="1"/>
  <c r="B45" i="123" s="1"/>
  <c r="B46" i="123" s="1"/>
  <c r="B47" i="123" s="1"/>
  <c r="O20" i="123"/>
  <c r="M20" i="123"/>
  <c r="H20" i="123" s="1"/>
  <c r="I20" i="123" s="1"/>
  <c r="J20" i="123"/>
  <c r="O15" i="123"/>
  <c r="J15" i="123"/>
  <c r="I15" i="123"/>
  <c r="B15" i="123"/>
  <c r="O14" i="123"/>
  <c r="J14" i="123"/>
  <c r="N4" i="123"/>
  <c r="O4" i="123" s="1"/>
  <c r="J4" i="123"/>
  <c r="H4" i="123"/>
  <c r="I4" i="123" s="1"/>
  <c r="C4" i="123"/>
  <c r="B4" i="123"/>
  <c r="N3" i="123"/>
  <c r="O3" i="123" s="1"/>
  <c r="J3" i="123"/>
  <c r="H3" i="123"/>
  <c r="I3" i="123" s="1"/>
  <c r="K3" i="123" s="1"/>
  <c r="C3" i="123"/>
  <c r="B3" i="123"/>
  <c r="H1" i="123"/>
  <c r="O32" i="122"/>
  <c r="M32" i="122"/>
  <c r="H32" i="122" s="1"/>
  <c r="I32" i="122" s="1"/>
  <c r="J32" i="122"/>
  <c r="O31" i="122"/>
  <c r="M31" i="122"/>
  <c r="H31" i="122" s="1"/>
  <c r="I31" i="122" s="1"/>
  <c r="J31" i="122"/>
  <c r="O30" i="122"/>
  <c r="M30" i="122"/>
  <c r="H30" i="122" s="1"/>
  <c r="I30" i="122" s="1"/>
  <c r="J30" i="122"/>
  <c r="O29" i="122"/>
  <c r="M29" i="122"/>
  <c r="H29" i="122" s="1"/>
  <c r="I29" i="122" s="1"/>
  <c r="J29" i="122"/>
  <c r="O28" i="122"/>
  <c r="M28" i="122"/>
  <c r="H28" i="122" s="1"/>
  <c r="I28" i="122" s="1"/>
  <c r="J28" i="122"/>
  <c r="O27" i="122"/>
  <c r="M27" i="122"/>
  <c r="H27" i="122" s="1"/>
  <c r="I27" i="122" s="1"/>
  <c r="J27" i="122"/>
  <c r="O26" i="122"/>
  <c r="M26" i="122"/>
  <c r="H26" i="122" s="1"/>
  <c r="I26" i="122" s="1"/>
  <c r="J26" i="122"/>
  <c r="O25" i="122"/>
  <c r="M25" i="122"/>
  <c r="H25" i="122" s="1"/>
  <c r="I25" i="122" s="1"/>
  <c r="J25" i="122"/>
  <c r="O24" i="122"/>
  <c r="M24" i="122"/>
  <c r="H24" i="122" s="1"/>
  <c r="I24" i="122" s="1"/>
  <c r="J24" i="122"/>
  <c r="O23" i="122"/>
  <c r="M23" i="122"/>
  <c r="H23" i="122" s="1"/>
  <c r="I23" i="122" s="1"/>
  <c r="J23" i="122"/>
  <c r="O22" i="122"/>
  <c r="M22" i="122"/>
  <c r="H22" i="122" s="1"/>
  <c r="I22" i="122" s="1"/>
  <c r="J22" i="122"/>
  <c r="O21" i="122"/>
  <c r="M21" i="122"/>
  <c r="H21" i="122" s="1"/>
  <c r="I21" i="122" s="1"/>
  <c r="J21" i="122"/>
  <c r="B21" i="122"/>
  <c r="B22" i="122" s="1"/>
  <c r="B23" i="122" s="1"/>
  <c r="B24" i="122" s="1"/>
  <c r="B25" i="122" s="1"/>
  <c r="B26" i="122" s="1"/>
  <c r="B27" i="122" s="1"/>
  <c r="B28" i="122" s="1"/>
  <c r="B29" i="122" s="1"/>
  <c r="B30" i="122" s="1"/>
  <c r="B31" i="122" s="1"/>
  <c r="B32" i="122" s="1"/>
  <c r="B33" i="122" s="1"/>
  <c r="B34" i="122" s="1"/>
  <c r="B35" i="122" s="1"/>
  <c r="B36" i="122" s="1"/>
  <c r="B37" i="122" s="1"/>
  <c r="B38" i="122" s="1"/>
  <c r="B39" i="122" s="1"/>
  <c r="B40" i="122" s="1"/>
  <c r="B41" i="122" s="1"/>
  <c r="B42" i="122" s="1"/>
  <c r="B43" i="122" s="1"/>
  <c r="B44" i="122" s="1"/>
  <c r="B45" i="122" s="1"/>
  <c r="B46" i="122" s="1"/>
  <c r="B47" i="122" s="1"/>
  <c r="O20" i="122"/>
  <c r="M20" i="122"/>
  <c r="H20" i="122" s="1"/>
  <c r="I20" i="122" s="1"/>
  <c r="J20" i="122"/>
  <c r="O15" i="122"/>
  <c r="J15" i="122"/>
  <c r="I15" i="122"/>
  <c r="B15" i="122"/>
  <c r="O14" i="122"/>
  <c r="J14" i="122"/>
  <c r="J4" i="122"/>
  <c r="C4" i="122"/>
  <c r="B4" i="122"/>
  <c r="J3" i="122"/>
  <c r="C3" i="122"/>
  <c r="B3" i="122"/>
  <c r="H1" i="122"/>
  <c r="M21" i="121"/>
  <c r="H21" i="121" s="1"/>
  <c r="M22" i="121"/>
  <c r="H22" i="121" s="1"/>
  <c r="M23" i="121"/>
  <c r="H23" i="121" s="1"/>
  <c r="M24" i="121"/>
  <c r="M25" i="121"/>
  <c r="M26" i="121"/>
  <c r="H26" i="121" s="1"/>
  <c r="M27" i="121"/>
  <c r="M28" i="121"/>
  <c r="H28" i="121" s="1"/>
  <c r="M29" i="121"/>
  <c r="M30" i="121"/>
  <c r="H30" i="121" s="1"/>
  <c r="M31" i="121"/>
  <c r="M20" i="121"/>
  <c r="H20" i="121" s="1"/>
  <c r="J21" i="121"/>
  <c r="J22" i="121"/>
  <c r="J23" i="121"/>
  <c r="J24" i="121"/>
  <c r="J25" i="121"/>
  <c r="J26" i="121"/>
  <c r="J27" i="121"/>
  <c r="J28" i="121"/>
  <c r="J29" i="121"/>
  <c r="J30" i="121"/>
  <c r="J31" i="121"/>
  <c r="J20" i="121"/>
  <c r="J15" i="121"/>
  <c r="J4" i="121"/>
  <c r="J14" i="121"/>
  <c r="J3" i="121"/>
  <c r="K6" i="127" l="1"/>
  <c r="K3" i="125"/>
  <c r="K33" i="124"/>
  <c r="K9" i="123"/>
  <c r="K6" i="130"/>
  <c r="K39" i="128"/>
  <c r="K3" i="124"/>
  <c r="K7" i="123"/>
  <c r="I19" i="132"/>
  <c r="K19" i="132" s="1"/>
  <c r="O18" i="132"/>
  <c r="K37" i="133"/>
  <c r="K30" i="130"/>
  <c r="K35" i="130"/>
  <c r="K3" i="130"/>
  <c r="K7" i="130"/>
  <c r="K3" i="127"/>
  <c r="K33" i="127"/>
  <c r="K8" i="127"/>
  <c r="K5" i="126"/>
  <c r="K7" i="126"/>
  <c r="J16" i="126"/>
  <c r="K3" i="126"/>
  <c r="K8" i="126"/>
  <c r="K4" i="125"/>
  <c r="K15" i="125"/>
  <c r="K31" i="124"/>
  <c r="K15" i="124"/>
  <c r="K4" i="124"/>
  <c r="K29" i="124"/>
  <c r="K25" i="124"/>
  <c r="J16" i="124"/>
  <c r="K30" i="124"/>
  <c r="K32" i="124"/>
  <c r="K22" i="124"/>
  <c r="K35" i="124"/>
  <c r="K26" i="124"/>
  <c r="K8" i="123"/>
  <c r="K5" i="123"/>
  <c r="I10" i="123"/>
  <c r="I10" i="124"/>
  <c r="H28" i="124"/>
  <c r="I28" i="124" s="1"/>
  <c r="K28" i="124" s="1"/>
  <c r="I21" i="126"/>
  <c r="K21" i="126" s="1"/>
  <c r="H31" i="126"/>
  <c r="I31" i="126" s="1"/>
  <c r="K31" i="126" s="1"/>
  <c r="K20" i="132"/>
  <c r="I10" i="126"/>
  <c r="I10" i="128"/>
  <c r="O15" i="132"/>
  <c r="O17" i="132"/>
  <c r="I16" i="132"/>
  <c r="K16" i="132" s="1"/>
  <c r="I14" i="125"/>
  <c r="I16" i="125" s="1"/>
  <c r="K31" i="125"/>
  <c r="H38" i="125"/>
  <c r="I38" i="125" s="1"/>
  <c r="K38" i="125" s="1"/>
  <c r="K8" i="125"/>
  <c r="I10" i="125"/>
  <c r="H35" i="125"/>
  <c r="I35" i="125" s="1"/>
  <c r="I14" i="129"/>
  <c r="K14" i="129" s="1"/>
  <c r="I14" i="130"/>
  <c r="I16" i="130" s="1"/>
  <c r="K29" i="127"/>
  <c r="K38" i="124"/>
  <c r="K39" i="133"/>
  <c r="K35" i="127"/>
  <c r="K26" i="126"/>
  <c r="K30" i="123"/>
  <c r="K23" i="124"/>
  <c r="K27" i="124"/>
  <c r="K36" i="125"/>
  <c r="K26" i="125"/>
  <c r="K21" i="124"/>
  <c r="K22" i="125"/>
  <c r="K33" i="130"/>
  <c r="K25" i="127"/>
  <c r="K24" i="124"/>
  <c r="K37" i="124"/>
  <c r="K15" i="130"/>
  <c r="K5" i="133"/>
  <c r="K26" i="133"/>
  <c r="K28" i="133"/>
  <c r="K7" i="133"/>
  <c r="O21" i="133"/>
  <c r="K35" i="133"/>
  <c r="K40" i="133"/>
  <c r="K31" i="133"/>
  <c r="K27" i="133"/>
  <c r="K42" i="133"/>
  <c r="K33" i="133"/>
  <c r="K43" i="133"/>
  <c r="H29" i="133"/>
  <c r="I29" i="133" s="1"/>
  <c r="K29" i="133" s="1"/>
  <c r="K6" i="133"/>
  <c r="K20" i="133"/>
  <c r="K36" i="133"/>
  <c r="K32" i="133"/>
  <c r="K41" i="133"/>
  <c r="K4" i="133"/>
  <c r="K38" i="133"/>
  <c r="H34" i="133"/>
  <c r="I34" i="133" s="1"/>
  <c r="K34" i="133" s="1"/>
  <c r="I15" i="133"/>
  <c r="K39" i="90" s="1"/>
  <c r="K3" i="133"/>
  <c r="O15" i="133"/>
  <c r="K25" i="133"/>
  <c r="K19" i="133"/>
  <c r="O34" i="133"/>
  <c r="O45" i="133" s="1"/>
  <c r="J21" i="133"/>
  <c r="I14" i="132"/>
  <c r="K14" i="132" s="1"/>
  <c r="K27" i="132"/>
  <c r="K18" i="132"/>
  <c r="K36" i="132"/>
  <c r="K39" i="132"/>
  <c r="K17" i="132"/>
  <c r="K28" i="132"/>
  <c r="K15" i="132"/>
  <c r="K33" i="132"/>
  <c r="K40" i="132"/>
  <c r="K30" i="132"/>
  <c r="K41" i="132"/>
  <c r="K35" i="132"/>
  <c r="O4" i="132"/>
  <c r="O5" i="132"/>
  <c r="K26" i="132"/>
  <c r="K34" i="132"/>
  <c r="I4" i="132"/>
  <c r="K4" i="132" s="1"/>
  <c r="I5" i="132"/>
  <c r="K5" i="132" s="1"/>
  <c r="K29" i="132"/>
  <c r="K31" i="132"/>
  <c r="K44" i="132"/>
  <c r="K32" i="132"/>
  <c r="I6" i="132"/>
  <c r="K6" i="132" s="1"/>
  <c r="O6" i="132"/>
  <c r="K25" i="132"/>
  <c r="K3" i="132"/>
  <c r="O33" i="132"/>
  <c r="O29" i="132"/>
  <c r="H34" i="130"/>
  <c r="I34" i="130" s="1"/>
  <c r="K34" i="130" s="1"/>
  <c r="K5" i="130"/>
  <c r="H31" i="130"/>
  <c r="I31" i="130" s="1"/>
  <c r="K31" i="130" s="1"/>
  <c r="K22" i="130"/>
  <c r="K37" i="130"/>
  <c r="K4" i="130"/>
  <c r="K20" i="130"/>
  <c r="K26" i="130"/>
  <c r="H25" i="130"/>
  <c r="I25" i="130" s="1"/>
  <c r="K25" i="130" s="1"/>
  <c r="K38" i="130"/>
  <c r="O16" i="130"/>
  <c r="K23" i="130"/>
  <c r="K28" i="130"/>
  <c r="K32" i="130"/>
  <c r="H29" i="130"/>
  <c r="I29" i="130" s="1"/>
  <c r="K29" i="130" s="1"/>
  <c r="J16" i="130"/>
  <c r="H36" i="130"/>
  <c r="I36" i="130" s="1"/>
  <c r="K36" i="130" s="1"/>
  <c r="H24" i="130"/>
  <c r="I24" i="130" s="1"/>
  <c r="K24" i="130" s="1"/>
  <c r="I10" i="130"/>
  <c r="H24" i="129"/>
  <c r="I24" i="129" s="1"/>
  <c r="K24" i="129" s="1"/>
  <c r="H25" i="129"/>
  <c r="I25" i="129" s="1"/>
  <c r="K25" i="129" s="1"/>
  <c r="H35" i="129"/>
  <c r="I35" i="129" s="1"/>
  <c r="K35" i="129" s="1"/>
  <c r="K39" i="129"/>
  <c r="K9" i="129"/>
  <c r="K30" i="129"/>
  <c r="K8" i="129"/>
  <c r="K22" i="129"/>
  <c r="K23" i="129"/>
  <c r="K7" i="129"/>
  <c r="K5" i="129"/>
  <c r="K26" i="129"/>
  <c r="K31" i="129"/>
  <c r="K15" i="129"/>
  <c r="K6" i="129"/>
  <c r="K28" i="129"/>
  <c r="J16" i="129"/>
  <c r="K27" i="129"/>
  <c r="K4" i="129"/>
  <c r="K34" i="129"/>
  <c r="K33" i="129"/>
  <c r="K37" i="129"/>
  <c r="K29" i="129"/>
  <c r="K3" i="129"/>
  <c r="I10" i="129"/>
  <c r="K21" i="129"/>
  <c r="O16" i="129"/>
  <c r="K32" i="129"/>
  <c r="K38" i="129"/>
  <c r="H32" i="128"/>
  <c r="I32" i="128" s="1"/>
  <c r="K32" i="128" s="1"/>
  <c r="H37" i="128"/>
  <c r="I37" i="128" s="1"/>
  <c r="K37" i="128" s="1"/>
  <c r="K9" i="128"/>
  <c r="K8" i="128"/>
  <c r="H27" i="128"/>
  <c r="I27" i="128" s="1"/>
  <c r="K27" i="128" s="1"/>
  <c r="K3" i="128"/>
  <c r="K7" i="128"/>
  <c r="H31" i="128"/>
  <c r="I31" i="128" s="1"/>
  <c r="K31" i="128" s="1"/>
  <c r="K6" i="128"/>
  <c r="K23" i="128"/>
  <c r="K33" i="128"/>
  <c r="K22" i="128"/>
  <c r="K38" i="128"/>
  <c r="H35" i="128"/>
  <c r="I35" i="128" s="1"/>
  <c r="K35" i="128" s="1"/>
  <c r="K5" i="128"/>
  <c r="K15" i="128"/>
  <c r="J16" i="128"/>
  <c r="H34" i="128"/>
  <c r="I34" i="128" s="1"/>
  <c r="K34" i="128" s="1"/>
  <c r="K21" i="128"/>
  <c r="H25" i="128"/>
  <c r="I25" i="128" s="1"/>
  <c r="K25" i="128" s="1"/>
  <c r="K26" i="128"/>
  <c r="K28" i="128"/>
  <c r="H29" i="128"/>
  <c r="I29" i="128" s="1"/>
  <c r="K29" i="128" s="1"/>
  <c r="K30" i="128"/>
  <c r="O25" i="128"/>
  <c r="K4" i="128"/>
  <c r="H24" i="128"/>
  <c r="I24" i="128" s="1"/>
  <c r="K24" i="128" s="1"/>
  <c r="O16" i="128"/>
  <c r="H36" i="128"/>
  <c r="I36" i="128" s="1"/>
  <c r="K36" i="128" s="1"/>
  <c r="K15" i="127"/>
  <c r="K30" i="127"/>
  <c r="K22" i="127"/>
  <c r="K5" i="127"/>
  <c r="J16" i="127"/>
  <c r="K24" i="127"/>
  <c r="K23" i="127"/>
  <c r="K37" i="127"/>
  <c r="K26" i="127"/>
  <c r="K27" i="127"/>
  <c r="K34" i="127"/>
  <c r="K28" i="127"/>
  <c r="K38" i="127"/>
  <c r="I10" i="127"/>
  <c r="K4" i="127"/>
  <c r="K21" i="127"/>
  <c r="O16" i="127"/>
  <c r="K31" i="127"/>
  <c r="K32" i="127"/>
  <c r="I24" i="126"/>
  <c r="K24" i="126" s="1"/>
  <c r="I20" i="126"/>
  <c r="K20" i="126" s="1"/>
  <c r="I30" i="126"/>
  <c r="K30" i="126" s="1"/>
  <c r="I23" i="126"/>
  <c r="K23" i="126" s="1"/>
  <c r="I29" i="126"/>
  <c r="K29" i="126" s="1"/>
  <c r="I25" i="126"/>
  <c r="K25" i="126" s="1"/>
  <c r="I32" i="126"/>
  <c r="K32" i="126" s="1"/>
  <c r="I27" i="126"/>
  <c r="K27" i="126" s="1"/>
  <c r="I33" i="126"/>
  <c r="K33" i="126" s="1"/>
  <c r="I28" i="126"/>
  <c r="K28" i="126" s="1"/>
  <c r="K6" i="126"/>
  <c r="K37" i="126"/>
  <c r="K35" i="126"/>
  <c r="K22" i="126"/>
  <c r="K4" i="126"/>
  <c r="K34" i="126"/>
  <c r="K36" i="126"/>
  <c r="K38" i="126"/>
  <c r="K15" i="126"/>
  <c r="O16" i="126"/>
  <c r="H27" i="125"/>
  <c r="I27" i="125" s="1"/>
  <c r="K27" i="125" s="1"/>
  <c r="H34" i="125"/>
  <c r="I34" i="125" s="1"/>
  <c r="K34" i="125" s="1"/>
  <c r="H29" i="125"/>
  <c r="I29" i="125" s="1"/>
  <c r="K29" i="125" s="1"/>
  <c r="K6" i="125"/>
  <c r="K5" i="125"/>
  <c r="K23" i="125"/>
  <c r="K24" i="125"/>
  <c r="K30" i="125"/>
  <c r="K32" i="125"/>
  <c r="K37" i="125"/>
  <c r="K25" i="125"/>
  <c r="J16" i="125"/>
  <c r="K33" i="125"/>
  <c r="K21" i="125"/>
  <c r="K39" i="125"/>
  <c r="O16" i="125"/>
  <c r="O16" i="124"/>
  <c r="H26" i="123"/>
  <c r="I26" i="123" s="1"/>
  <c r="K26" i="123" s="1"/>
  <c r="K22" i="123"/>
  <c r="K6" i="123"/>
  <c r="K28" i="123"/>
  <c r="K24" i="123"/>
  <c r="K37" i="123"/>
  <c r="K27" i="123"/>
  <c r="K15" i="123"/>
  <c r="K33" i="123"/>
  <c r="K25" i="123"/>
  <c r="K35" i="123"/>
  <c r="K34" i="123"/>
  <c r="K23" i="123"/>
  <c r="K29" i="123"/>
  <c r="K31" i="123"/>
  <c r="K32" i="123"/>
  <c r="K21" i="123"/>
  <c r="K38" i="123"/>
  <c r="K4" i="123"/>
  <c r="O16" i="123"/>
  <c r="O10" i="123"/>
  <c r="H51" i="123" s="1"/>
  <c r="J51" i="123" s="1"/>
  <c r="K25" i="122"/>
  <c r="K28" i="122"/>
  <c r="K24" i="122"/>
  <c r="K29" i="122"/>
  <c r="K27" i="122"/>
  <c r="K30" i="122"/>
  <c r="K31" i="122"/>
  <c r="K23" i="122"/>
  <c r="K26" i="122"/>
  <c r="K22" i="122"/>
  <c r="K15" i="122"/>
  <c r="K32" i="122"/>
  <c r="K21" i="122"/>
  <c r="O16" i="122"/>
  <c r="K21" i="130"/>
  <c r="O10" i="130"/>
  <c r="H51" i="130" s="1"/>
  <c r="J51" i="130" s="1"/>
  <c r="O29" i="130"/>
  <c r="H27" i="130"/>
  <c r="I27" i="130" s="1"/>
  <c r="K27" i="130" s="1"/>
  <c r="O25" i="130"/>
  <c r="K20" i="129"/>
  <c r="O10" i="129"/>
  <c r="O34" i="129"/>
  <c r="O48" i="129" s="1"/>
  <c r="H54" i="129" s="1"/>
  <c r="J54" i="129" s="1"/>
  <c r="H36" i="129"/>
  <c r="I36" i="129" s="1"/>
  <c r="K36" i="129" s="1"/>
  <c r="O10" i="128"/>
  <c r="H51" i="128" s="1"/>
  <c r="J51" i="128" s="1"/>
  <c r="K14" i="128"/>
  <c r="I16" i="128"/>
  <c r="K20" i="128"/>
  <c r="O34" i="128"/>
  <c r="O36" i="128"/>
  <c r="K20" i="127"/>
  <c r="I16" i="127"/>
  <c r="K14" i="127"/>
  <c r="O10" i="127"/>
  <c r="H51" i="127" s="1"/>
  <c r="J51" i="127" s="1"/>
  <c r="O34" i="127"/>
  <c r="O48" i="127" s="1"/>
  <c r="H54" i="127" s="1"/>
  <c r="H36" i="127"/>
  <c r="I36" i="127" s="1"/>
  <c r="K36" i="127" s="1"/>
  <c r="K14" i="126"/>
  <c r="I16" i="126"/>
  <c r="O10" i="126"/>
  <c r="H51" i="126" s="1"/>
  <c r="J51" i="126" s="1"/>
  <c r="O34" i="126"/>
  <c r="O36" i="126"/>
  <c r="K20" i="125"/>
  <c r="O10" i="125"/>
  <c r="H51" i="125" s="1"/>
  <c r="J51" i="125" s="1"/>
  <c r="O35" i="125"/>
  <c r="O37" i="125"/>
  <c r="K14" i="124"/>
  <c r="I16" i="124"/>
  <c r="O48" i="124"/>
  <c r="H54" i="124" s="1"/>
  <c r="K20" i="124"/>
  <c r="O10" i="124"/>
  <c r="H51" i="124" s="1"/>
  <c r="J51" i="124" s="1"/>
  <c r="H34" i="124"/>
  <c r="I34" i="124" s="1"/>
  <c r="K34" i="124" s="1"/>
  <c r="H36" i="124"/>
  <c r="I36" i="124" s="1"/>
  <c r="K36" i="124" s="1"/>
  <c r="K20" i="123"/>
  <c r="I16" i="123"/>
  <c r="K14" i="123"/>
  <c r="O34" i="123"/>
  <c r="O48" i="123" s="1"/>
  <c r="H54" i="123" s="1"/>
  <c r="H36" i="123"/>
  <c r="I36" i="123" s="1"/>
  <c r="K36" i="123" s="1"/>
  <c r="K20" i="122"/>
  <c r="K14" i="122"/>
  <c r="I16" i="122"/>
  <c r="O48" i="122"/>
  <c r="H54" i="122" s="1"/>
  <c r="I16" i="129" l="1"/>
  <c r="K16" i="124"/>
  <c r="J53" i="124" s="1"/>
  <c r="K10" i="124"/>
  <c r="H52" i="124" s="1"/>
  <c r="J52" i="124" s="1"/>
  <c r="I48" i="125"/>
  <c r="K14" i="125"/>
  <c r="K16" i="125" s="1"/>
  <c r="J53" i="125" s="1"/>
  <c r="K10" i="125"/>
  <c r="H52" i="125" s="1"/>
  <c r="J52" i="125" s="1"/>
  <c r="K10" i="132"/>
  <c r="H49" i="132" s="1"/>
  <c r="J49" i="132" s="1"/>
  <c r="H51" i="129"/>
  <c r="J51" i="129" s="1"/>
  <c r="J54" i="127"/>
  <c r="J54" i="124"/>
  <c r="J54" i="123"/>
  <c r="O21" i="132"/>
  <c r="J49" i="90" s="1"/>
  <c r="J54" i="122"/>
  <c r="K35" i="125"/>
  <c r="K48" i="125" s="1"/>
  <c r="H55" i="125" s="1"/>
  <c r="J55" i="125" s="1"/>
  <c r="I21" i="132"/>
  <c r="K49" i="90" s="1"/>
  <c r="O45" i="132"/>
  <c r="H51" i="132" s="1"/>
  <c r="J51" i="132" s="1"/>
  <c r="K14" i="130"/>
  <c r="K16" i="130" s="1"/>
  <c r="J53" i="130" s="1"/>
  <c r="I21" i="133"/>
  <c r="K41" i="90" s="1"/>
  <c r="K10" i="127"/>
  <c r="H52" i="127" s="1"/>
  <c r="J52" i="127" s="1"/>
  <c r="J39" i="90"/>
  <c r="H51" i="133"/>
  <c r="J51" i="133" s="1"/>
  <c r="J43" i="90"/>
  <c r="H48" i="133"/>
  <c r="J48" i="133" s="1"/>
  <c r="K21" i="133"/>
  <c r="J50" i="133" s="1"/>
  <c r="K45" i="133"/>
  <c r="H52" i="133" s="1"/>
  <c r="I45" i="133"/>
  <c r="K15" i="133"/>
  <c r="H49" i="133" s="1"/>
  <c r="K21" i="132"/>
  <c r="J50" i="132" s="1"/>
  <c r="O10" i="132"/>
  <c r="I10" i="132"/>
  <c r="K48" i="90" s="1"/>
  <c r="I45" i="132"/>
  <c r="K45" i="132"/>
  <c r="H52" i="132" s="1"/>
  <c r="K10" i="130"/>
  <c r="H52" i="130" s="1"/>
  <c r="J52" i="130" s="1"/>
  <c r="O48" i="130"/>
  <c r="H54" i="130" s="1"/>
  <c r="K48" i="130"/>
  <c r="H55" i="130" s="1"/>
  <c r="K10" i="129"/>
  <c r="H52" i="129" s="1"/>
  <c r="J52" i="129" s="1"/>
  <c r="K16" i="129"/>
  <c r="J53" i="129" s="1"/>
  <c r="K16" i="128"/>
  <c r="J53" i="128" s="1"/>
  <c r="K10" i="128"/>
  <c r="H52" i="128" s="1"/>
  <c r="O48" i="128"/>
  <c r="H54" i="128" s="1"/>
  <c r="K48" i="128"/>
  <c r="H55" i="128" s="1"/>
  <c r="I48" i="128"/>
  <c r="K16" i="127"/>
  <c r="J53" i="127" s="1"/>
  <c r="I48" i="126"/>
  <c r="K16" i="126"/>
  <c r="J53" i="126" s="1"/>
  <c r="K10" i="126"/>
  <c r="H52" i="126" s="1"/>
  <c r="J52" i="126" s="1"/>
  <c r="K48" i="126"/>
  <c r="H55" i="126" s="1"/>
  <c r="O48" i="126"/>
  <c r="H54" i="126" s="1"/>
  <c r="O48" i="125"/>
  <c r="H54" i="125" s="1"/>
  <c r="K10" i="123"/>
  <c r="H52" i="123" s="1"/>
  <c r="J52" i="123" s="1"/>
  <c r="K16" i="123"/>
  <c r="J53" i="123" s="1"/>
  <c r="K16" i="122"/>
  <c r="J53" i="122" s="1"/>
  <c r="K48" i="122"/>
  <c r="H55" i="122" s="1"/>
  <c r="I48" i="130"/>
  <c r="K48" i="129"/>
  <c r="H55" i="129" s="1"/>
  <c r="I48" i="129"/>
  <c r="I48" i="127"/>
  <c r="K48" i="127"/>
  <c r="H55" i="127" s="1"/>
  <c r="K48" i="124"/>
  <c r="H55" i="124" s="1"/>
  <c r="I48" i="124"/>
  <c r="K48" i="123"/>
  <c r="I48" i="123"/>
  <c r="H55" i="123" s="1"/>
  <c r="I48" i="122"/>
  <c r="J57" i="125" l="1"/>
  <c r="J55" i="129"/>
  <c r="J56" i="129" s="1"/>
  <c r="J55" i="130"/>
  <c r="J57" i="130" s="1"/>
  <c r="J54" i="130"/>
  <c r="J55" i="128"/>
  <c r="J54" i="128"/>
  <c r="J55" i="127"/>
  <c r="J56" i="127" s="1"/>
  <c r="J54" i="126"/>
  <c r="J55" i="126"/>
  <c r="J57" i="126" s="1"/>
  <c r="J54" i="125"/>
  <c r="J56" i="125" s="1"/>
  <c r="J55" i="124"/>
  <c r="J55" i="123"/>
  <c r="J56" i="123" s="1"/>
  <c r="J55" i="122"/>
  <c r="J50" i="90"/>
  <c r="J52" i="132"/>
  <c r="J54" i="132" s="1"/>
  <c r="K50" i="90"/>
  <c r="M50" i="90" s="1"/>
  <c r="H48" i="132"/>
  <c r="J48" i="132" s="1"/>
  <c r="J48" i="90"/>
  <c r="J52" i="133"/>
  <c r="K43" i="90"/>
  <c r="J49" i="133"/>
  <c r="H56" i="128"/>
  <c r="J52" i="128"/>
  <c r="H56" i="126"/>
  <c r="H56" i="125"/>
  <c r="H56" i="130"/>
  <c r="H56" i="129"/>
  <c r="H56" i="127"/>
  <c r="H56" i="124"/>
  <c r="H56" i="123"/>
  <c r="O30" i="121"/>
  <c r="I30" i="121"/>
  <c r="K30" i="121" s="1"/>
  <c r="O28" i="121"/>
  <c r="I28" i="121"/>
  <c r="K28" i="121" s="1"/>
  <c r="O26" i="121"/>
  <c r="I26" i="121"/>
  <c r="K26" i="121" s="1"/>
  <c r="O23" i="121"/>
  <c r="I23" i="121"/>
  <c r="K23" i="121" s="1"/>
  <c r="O22" i="121"/>
  <c r="I22" i="121"/>
  <c r="K22" i="121" s="1"/>
  <c r="O21" i="121"/>
  <c r="I21" i="121"/>
  <c r="K21" i="121" s="1"/>
  <c r="B21" i="121"/>
  <c r="B22" i="121" s="1"/>
  <c r="B23" i="121" s="1"/>
  <c r="B24" i="121" s="1"/>
  <c r="B25" i="121" s="1"/>
  <c r="B26" i="121" s="1"/>
  <c r="B27" i="121" s="1"/>
  <c r="B28" i="121" s="1"/>
  <c r="B29" i="121" s="1"/>
  <c r="B30" i="121" s="1"/>
  <c r="B31" i="121" s="1"/>
  <c r="B32" i="121" s="1"/>
  <c r="B33" i="121" s="1"/>
  <c r="B34" i="121" s="1"/>
  <c r="B35" i="121" s="1"/>
  <c r="B36" i="121" s="1"/>
  <c r="B37" i="121" s="1"/>
  <c r="B38" i="121" s="1"/>
  <c r="B39" i="121" s="1"/>
  <c r="B40" i="121" s="1"/>
  <c r="B41" i="121" s="1"/>
  <c r="B42" i="121" s="1"/>
  <c r="B43" i="121" s="1"/>
  <c r="B44" i="121" s="1"/>
  <c r="B45" i="121" s="1"/>
  <c r="B46" i="121" s="1"/>
  <c r="B47" i="121" s="1"/>
  <c r="O20" i="121"/>
  <c r="I20" i="121"/>
  <c r="K20" i="121" s="1"/>
  <c r="O15" i="121"/>
  <c r="I15" i="121"/>
  <c r="K15" i="121" s="1"/>
  <c r="B15" i="121"/>
  <c r="O14" i="121"/>
  <c r="I14" i="121"/>
  <c r="K14" i="121" s="1"/>
  <c r="H4" i="121"/>
  <c r="I4" i="121" s="1"/>
  <c r="K4" i="121" s="1"/>
  <c r="N4" i="121"/>
  <c r="O4" i="121" s="1"/>
  <c r="C4" i="121"/>
  <c r="B4" i="121"/>
  <c r="H3" i="121"/>
  <c r="I3" i="121" s="1"/>
  <c r="N3" i="121"/>
  <c r="O3" i="121" s="1"/>
  <c r="C3" i="121"/>
  <c r="B3" i="121"/>
  <c r="H1" i="121"/>
  <c r="J57" i="128" l="1"/>
  <c r="J54" i="133"/>
  <c r="J57" i="127"/>
  <c r="J57" i="123"/>
  <c r="J56" i="124"/>
  <c r="J57" i="124"/>
  <c r="O16" i="121"/>
  <c r="J57" i="129"/>
  <c r="J56" i="130"/>
  <c r="J56" i="126"/>
  <c r="J56" i="128"/>
  <c r="K3" i="121"/>
  <c r="I10" i="121"/>
  <c r="K16" i="121"/>
  <c r="J53" i="121" s="1"/>
  <c r="J53" i="132"/>
  <c r="H53" i="132"/>
  <c r="J53" i="133"/>
  <c r="H53" i="133"/>
  <c r="O27" i="121"/>
  <c r="H27" i="121"/>
  <c r="I27" i="121" s="1"/>
  <c r="H29" i="121"/>
  <c r="I29" i="121" s="1"/>
  <c r="K29" i="121" s="1"/>
  <c r="H24" i="121"/>
  <c r="I24" i="121" s="1"/>
  <c r="K24" i="121" s="1"/>
  <c r="H25" i="121"/>
  <c r="I25" i="121" s="1"/>
  <c r="K25" i="121" s="1"/>
  <c r="O31" i="121"/>
  <c r="H31" i="121"/>
  <c r="I31" i="121" s="1"/>
  <c r="K31" i="121" s="1"/>
  <c r="I16" i="121"/>
  <c r="K40" i="90" s="1"/>
  <c r="O24" i="121"/>
  <c r="O10" i="121"/>
  <c r="O25" i="121"/>
  <c r="O29" i="121"/>
  <c r="H51" i="121" l="1"/>
  <c r="J51" i="121" s="1"/>
  <c r="I48" i="121"/>
  <c r="K42" i="90" s="1"/>
  <c r="K27" i="121"/>
  <c r="K48" i="121" s="1"/>
  <c r="H55" i="121" s="1"/>
  <c r="O48" i="121"/>
  <c r="J42" i="90" s="1"/>
  <c r="J55" i="121" l="1"/>
  <c r="H54" i="121"/>
  <c r="J54" i="121" s="1"/>
  <c r="N4" i="122" l="1"/>
  <c r="O4" i="122" s="1"/>
  <c r="N5" i="122"/>
  <c r="O5" i="122" s="1"/>
  <c r="N6" i="122"/>
  <c r="O6" i="122" s="1"/>
  <c r="N3" i="122"/>
  <c r="O3" i="122" s="1"/>
  <c r="M87" i="90"/>
  <c r="M86" i="90"/>
  <c r="M83" i="90"/>
  <c r="M82" i="90"/>
  <c r="M75" i="90"/>
  <c r="K87" i="90"/>
  <c r="L87" i="90" s="1"/>
  <c r="K86" i="90"/>
  <c r="K83" i="90"/>
  <c r="O83" i="90" s="1"/>
  <c r="K82" i="90"/>
  <c r="O82" i="90" s="1"/>
  <c r="K79" i="90"/>
  <c r="O79" i="90" s="1"/>
  <c r="K75" i="90"/>
  <c r="O75" i="90" s="1"/>
  <c r="K55" i="90"/>
  <c r="L55" i="90" s="1"/>
  <c r="O86" i="90"/>
  <c r="L86" i="90"/>
  <c r="L83" i="90"/>
  <c r="L82" i="90"/>
  <c r="L79" i="90"/>
  <c r="L75" i="90"/>
  <c r="O10" i="122" l="1"/>
  <c r="H51" i="122" s="1"/>
  <c r="J51" i="122" s="1"/>
  <c r="O55" i="90"/>
  <c r="M55" i="90"/>
  <c r="M79" i="90"/>
  <c r="O87" i="90"/>
  <c r="J38" i="90" l="1"/>
  <c r="M48" i="90"/>
  <c r="O49" i="90" l="1"/>
  <c r="M49" i="90"/>
  <c r="L48" i="90"/>
  <c r="J47" i="90"/>
  <c r="I84" i="90"/>
  <c r="I52" i="90"/>
  <c r="M47" i="90" l="1"/>
  <c r="O48" i="90"/>
  <c r="N48" i="90"/>
  <c r="L50" i="90"/>
  <c r="L49" i="90"/>
  <c r="J86" i="90" l="1"/>
  <c r="J82" i="90"/>
  <c r="I80" i="90"/>
  <c r="M39" i="90" l="1"/>
  <c r="M40" i="90"/>
  <c r="M41" i="90"/>
  <c r="L40" i="90"/>
  <c r="L39" i="90"/>
  <c r="L41" i="90"/>
  <c r="J71" i="90"/>
  <c r="K71" i="90" s="1"/>
  <c r="J67" i="90"/>
  <c r="K67" i="90" s="1"/>
  <c r="J63" i="90"/>
  <c r="K63" i="90" s="1"/>
  <c r="J59" i="90"/>
  <c r="K59" i="90" s="1"/>
  <c r="M63" i="90" l="1"/>
  <c r="O63" i="90"/>
  <c r="L63" i="90"/>
  <c r="M59" i="90"/>
  <c r="O59" i="90" s="1"/>
  <c r="L59" i="90"/>
  <c r="L67" i="90"/>
  <c r="M67" i="90"/>
  <c r="O67" i="90"/>
  <c r="M71" i="90"/>
  <c r="O71" i="90" s="1"/>
  <c r="L71" i="90"/>
  <c r="N39" i="90"/>
  <c r="N40" i="90"/>
  <c r="O40" i="90"/>
  <c r="N41" i="90"/>
  <c r="O41" i="90"/>
  <c r="M42" i="90"/>
  <c r="O39" i="90"/>
  <c r="M43" i="90"/>
  <c r="L43" i="90"/>
  <c r="O17" i="104"/>
  <c r="O18" i="104"/>
  <c r="O19" i="104"/>
  <c r="O20" i="104"/>
  <c r="O21" i="104"/>
  <c r="O22" i="104"/>
  <c r="O23" i="104"/>
  <c r="O24" i="104"/>
  <c r="O25" i="104"/>
  <c r="O26" i="104"/>
  <c r="O27" i="104"/>
  <c r="O28" i="104"/>
  <c r="O29" i="104"/>
  <c r="O30" i="104"/>
  <c r="O31" i="104"/>
  <c r="O32" i="104"/>
  <c r="O33" i="104"/>
  <c r="O34" i="104"/>
  <c r="O35" i="104"/>
  <c r="O36" i="104"/>
  <c r="O37" i="104"/>
  <c r="O38" i="104"/>
  <c r="O39" i="104"/>
  <c r="L39" i="104"/>
  <c r="L38" i="104"/>
  <c r="L37" i="104"/>
  <c r="L36" i="104"/>
  <c r="L35" i="104"/>
  <c r="L34" i="104"/>
  <c r="L33" i="104"/>
  <c r="L32" i="104"/>
  <c r="L31" i="104"/>
  <c r="L30" i="104"/>
  <c r="L29" i="104"/>
  <c r="N42" i="90" l="1"/>
  <c r="N43" i="90"/>
  <c r="O43" i="90"/>
  <c r="O42" i="90"/>
  <c r="L42" i="90"/>
  <c r="G21" i="104"/>
  <c r="H20" i="104"/>
  <c r="H3" i="122" l="1"/>
  <c r="I3" i="122" s="1"/>
  <c r="H4" i="122"/>
  <c r="I4" i="122" s="1"/>
  <c r="K4" i="122" s="1"/>
  <c r="H5" i="122"/>
  <c r="I5" i="122" s="1"/>
  <c r="K5" i="122" s="1"/>
  <c r="H6" i="122"/>
  <c r="I6" i="122" s="1"/>
  <c r="K6" i="122" s="1"/>
  <c r="I10" i="122" l="1"/>
  <c r="K38" i="90" s="1"/>
  <c r="M38" i="90" s="1"/>
  <c r="K3" i="122"/>
  <c r="K10" i="122" s="1"/>
  <c r="H52" i="122" s="1"/>
  <c r="G22" i="104"/>
  <c r="G23" i="104"/>
  <c r="G24" i="104"/>
  <c r="G25" i="104"/>
  <c r="G26" i="104"/>
  <c r="G16" i="104"/>
  <c r="G17" i="104"/>
  <c r="G18" i="104"/>
  <c r="G19" i="104"/>
  <c r="J52" i="122" l="1"/>
  <c r="H56" i="122"/>
  <c r="J57" i="122" l="1"/>
  <c r="J56" i="122"/>
  <c r="N82" i="90"/>
  <c r="N83" i="90"/>
  <c r="M35" i="105" l="1"/>
  <c r="L35" i="105"/>
  <c r="K35" i="105"/>
  <c r="J35" i="105"/>
  <c r="I35" i="105"/>
  <c r="H35" i="105"/>
  <c r="G35" i="105"/>
  <c r="M12" i="105"/>
  <c r="L12" i="105"/>
  <c r="K12" i="105"/>
  <c r="I12" i="105"/>
  <c r="H12" i="105"/>
  <c r="G12" i="105"/>
  <c r="J12" i="105"/>
  <c r="M4" i="105" l="1"/>
  <c r="L4" i="105"/>
  <c r="K4" i="105"/>
  <c r="I4" i="105"/>
  <c r="H4" i="105"/>
  <c r="F10" i="105"/>
  <c r="G10" i="105" s="1"/>
  <c r="F9" i="105"/>
  <c r="G9" i="105" s="1"/>
  <c r="F8" i="105"/>
  <c r="G8" i="105" s="1"/>
  <c r="F7" i="105"/>
  <c r="G7" i="105" s="1"/>
  <c r="F6" i="105"/>
  <c r="G6" i="105" s="1"/>
  <c r="F5" i="105"/>
  <c r="G5" i="105" s="1"/>
  <c r="J4" i="105"/>
  <c r="J10" i="105" s="1"/>
  <c r="G4" i="105"/>
  <c r="F4" i="105"/>
  <c r="I10" i="105" l="1"/>
  <c r="K10" i="105"/>
  <c r="L10" i="105"/>
  <c r="M10" i="105"/>
  <c r="M9" i="105"/>
  <c r="M8" i="105"/>
  <c r="M7" i="105"/>
  <c r="M6" i="105"/>
  <c r="M5" i="105"/>
  <c r="H10" i="105"/>
  <c r="H9" i="105"/>
  <c r="H8" i="105"/>
  <c r="H7" i="105"/>
  <c r="H6" i="105"/>
  <c r="H5" i="105"/>
  <c r="L5" i="105"/>
  <c r="L6" i="105"/>
  <c r="L7" i="105"/>
  <c r="L8" i="105"/>
  <c r="L9" i="105"/>
  <c r="I5" i="105"/>
  <c r="I6" i="105"/>
  <c r="I7" i="105"/>
  <c r="I8" i="105"/>
  <c r="I9" i="105"/>
  <c r="J5" i="105"/>
  <c r="J6" i="105"/>
  <c r="J7" i="105"/>
  <c r="J8" i="105"/>
  <c r="J9" i="105"/>
  <c r="K5" i="105"/>
  <c r="K6" i="105"/>
  <c r="K7" i="105"/>
  <c r="K8" i="105"/>
  <c r="K9" i="105"/>
  <c r="N87" i="90" l="1"/>
  <c r="N86" i="90"/>
  <c r="N49" i="90" l="1"/>
  <c r="J70" i="90"/>
  <c r="K70" i="90" s="1"/>
  <c r="M70" i="90" l="1"/>
  <c r="O70" i="90" s="1"/>
  <c r="L70" i="90"/>
  <c r="N63" i="90"/>
  <c r="N71" i="90"/>
  <c r="N79" i="90"/>
  <c r="N67" i="90"/>
  <c r="N75" i="90"/>
  <c r="G30" i="90"/>
  <c r="N70" i="90" l="1"/>
  <c r="N55" i="90"/>
  <c r="N59" i="90"/>
  <c r="J78" i="90"/>
  <c r="K78" i="90" s="1"/>
  <c r="I76" i="90"/>
  <c r="O78" i="90" l="1"/>
  <c r="M78" i="90"/>
  <c r="L78" i="90"/>
  <c r="N78" i="90"/>
  <c r="V80" i="104"/>
  <c r="K6" i="90" l="1"/>
  <c r="K7" i="90"/>
  <c r="K8" i="90"/>
  <c r="K9" i="90"/>
  <c r="K10" i="90"/>
  <c r="K11" i="90"/>
  <c r="K12" i="90"/>
  <c r="K13" i="90"/>
  <c r="K14" i="90"/>
  <c r="K15" i="90"/>
  <c r="K16" i="90"/>
  <c r="K17" i="90"/>
  <c r="I6" i="90"/>
  <c r="I7" i="90"/>
  <c r="I8" i="90"/>
  <c r="I9" i="90"/>
  <c r="I10" i="90"/>
  <c r="I11" i="90"/>
  <c r="I12" i="90"/>
  <c r="I13" i="90"/>
  <c r="I14" i="90"/>
  <c r="I15" i="90"/>
  <c r="J15" i="90" s="1"/>
  <c r="I16" i="90"/>
  <c r="J16" i="90" s="1"/>
  <c r="I17" i="90"/>
  <c r="J17" i="90" s="1"/>
  <c r="K5" i="90"/>
  <c r="I5" i="90"/>
  <c r="K4" i="90"/>
  <c r="I4" i="90"/>
  <c r="N40" i="104"/>
  <c r="I40" i="104"/>
  <c r="Q39" i="104"/>
  <c r="M39" i="104"/>
  <c r="H39" i="104"/>
  <c r="J39" i="104" s="1"/>
  <c r="G39" i="104"/>
  <c r="Q38" i="104"/>
  <c r="M38" i="104"/>
  <c r="H38" i="104"/>
  <c r="J38" i="104" s="1"/>
  <c r="G38" i="104"/>
  <c r="Q37" i="104"/>
  <c r="M37" i="104"/>
  <c r="H37" i="104"/>
  <c r="J37" i="104" s="1"/>
  <c r="G37" i="104"/>
  <c r="Q36" i="104"/>
  <c r="M36" i="104"/>
  <c r="H36" i="104"/>
  <c r="J36" i="104" s="1"/>
  <c r="G36" i="104"/>
  <c r="Q35" i="104"/>
  <c r="M35" i="104"/>
  <c r="H35" i="104"/>
  <c r="J35" i="104" s="1"/>
  <c r="G35" i="104"/>
  <c r="Q34" i="104"/>
  <c r="M34" i="104"/>
  <c r="H34" i="104"/>
  <c r="J34" i="104" s="1"/>
  <c r="G34" i="104"/>
  <c r="Q33" i="104"/>
  <c r="M33" i="104"/>
  <c r="H33" i="104"/>
  <c r="J33" i="104" s="1"/>
  <c r="G33" i="104"/>
  <c r="Q32" i="104"/>
  <c r="K32" i="104" s="1"/>
  <c r="M32" i="104"/>
  <c r="H32" i="104"/>
  <c r="J32" i="104" s="1"/>
  <c r="G32" i="104"/>
  <c r="Q31" i="104"/>
  <c r="M31" i="104"/>
  <c r="H31" i="104"/>
  <c r="J31" i="104" s="1"/>
  <c r="G31" i="104"/>
  <c r="Q30" i="104"/>
  <c r="K30" i="104" s="1"/>
  <c r="M30" i="104"/>
  <c r="H30" i="104"/>
  <c r="J30" i="104" s="1"/>
  <c r="G30" i="104"/>
  <c r="Q29" i="104"/>
  <c r="M29" i="104"/>
  <c r="H29" i="104"/>
  <c r="J29" i="104" s="1"/>
  <c r="G29" i="104"/>
  <c r="Q28" i="104"/>
  <c r="L28" i="104" s="1"/>
  <c r="M28" i="104"/>
  <c r="H28" i="104"/>
  <c r="J28" i="104" s="1"/>
  <c r="G28" i="104"/>
  <c r="Q27" i="104"/>
  <c r="L27" i="104" s="1"/>
  <c r="M27" i="104"/>
  <c r="H27" i="104"/>
  <c r="J27" i="104" s="1"/>
  <c r="G27" i="104"/>
  <c r="Q26" i="104"/>
  <c r="L26" i="104" s="1"/>
  <c r="M26" i="104"/>
  <c r="H26" i="104"/>
  <c r="J26" i="104" s="1"/>
  <c r="Q25" i="104"/>
  <c r="L25" i="104" s="1"/>
  <c r="M25" i="104"/>
  <c r="H25" i="104"/>
  <c r="J25" i="104" s="1"/>
  <c r="Q24" i="104"/>
  <c r="L24" i="104" s="1"/>
  <c r="M24" i="104"/>
  <c r="H24" i="104"/>
  <c r="J24" i="104" s="1"/>
  <c r="Q23" i="104"/>
  <c r="L23" i="104" s="1"/>
  <c r="M23" i="104"/>
  <c r="H23" i="104"/>
  <c r="J23" i="104" s="1"/>
  <c r="Q22" i="104"/>
  <c r="M22" i="104"/>
  <c r="H22" i="104"/>
  <c r="J22" i="104" s="1"/>
  <c r="Q21" i="104"/>
  <c r="L21" i="104" s="1"/>
  <c r="M21" i="104"/>
  <c r="H21" i="104"/>
  <c r="J21" i="104" s="1"/>
  <c r="Q20" i="104"/>
  <c r="L20" i="104" s="1"/>
  <c r="M20" i="104"/>
  <c r="J20" i="104"/>
  <c r="G20" i="104"/>
  <c r="Q19" i="104"/>
  <c r="M19" i="104"/>
  <c r="H19" i="104"/>
  <c r="J19" i="104" s="1"/>
  <c r="Q18" i="104"/>
  <c r="M18" i="104"/>
  <c r="H18" i="104"/>
  <c r="J18" i="104" s="1"/>
  <c r="Q17" i="104"/>
  <c r="L17" i="104" s="1"/>
  <c r="M17" i="104"/>
  <c r="H17" i="104"/>
  <c r="J17" i="104" s="1"/>
  <c r="Q16" i="104"/>
  <c r="L16" i="104" s="1"/>
  <c r="O16" i="104"/>
  <c r="M16" i="104"/>
  <c r="H16" i="104"/>
  <c r="J16" i="104" s="1"/>
  <c r="K18" i="104" l="1"/>
  <c r="L18" i="104"/>
  <c r="R18" i="104" s="1"/>
  <c r="J6" i="90" s="1"/>
  <c r="K19" i="104"/>
  <c r="L19" i="104"/>
  <c r="K22" i="104"/>
  <c r="L22" i="104"/>
  <c r="K39" i="104"/>
  <c r="R39" i="104" s="1"/>
  <c r="K26" i="104"/>
  <c r="R26" i="104" s="1"/>
  <c r="J14" i="90" s="1"/>
  <c r="K17" i="104"/>
  <c r="R17" i="104" s="1"/>
  <c r="J5" i="90" s="1"/>
  <c r="K24" i="104"/>
  <c r="R24" i="104" s="1"/>
  <c r="J12" i="90" s="1"/>
  <c r="K34" i="104"/>
  <c r="R34" i="104" s="1"/>
  <c r="K16" i="104"/>
  <c r="R16" i="104" s="1"/>
  <c r="J4" i="90" s="1"/>
  <c r="K23" i="104"/>
  <c r="K25" i="104"/>
  <c r="R25" i="104" s="1"/>
  <c r="J13" i="90" s="1"/>
  <c r="M40" i="104"/>
  <c r="R32" i="104"/>
  <c r="Q40" i="104"/>
  <c r="O40" i="104"/>
  <c r="K31" i="104"/>
  <c r="R31" i="104" s="1"/>
  <c r="K33" i="104"/>
  <c r="R33" i="104" s="1"/>
  <c r="J40" i="104"/>
  <c r="R30" i="104"/>
  <c r="I6" i="104"/>
  <c r="K27" i="104"/>
  <c r="R27" i="104" s="1"/>
  <c r="K35" i="104"/>
  <c r="R35" i="104" s="1"/>
  <c r="K28" i="104"/>
  <c r="R28" i="104" s="1"/>
  <c r="K36" i="104"/>
  <c r="R36" i="104" s="1"/>
  <c r="K20" i="104"/>
  <c r="K21" i="104"/>
  <c r="R21" i="104" s="1"/>
  <c r="J9" i="90" s="1"/>
  <c r="K29" i="104"/>
  <c r="R29" i="104" s="1"/>
  <c r="K37" i="104"/>
  <c r="R37" i="104" s="1"/>
  <c r="K38" i="104"/>
  <c r="R38" i="104" s="1"/>
  <c r="M24" i="90" l="1"/>
  <c r="R19" i="104"/>
  <c r="J7" i="90" s="1"/>
  <c r="M27" i="90" s="1"/>
  <c r="R22" i="104"/>
  <c r="J10" i="90" s="1"/>
  <c r="R23" i="104"/>
  <c r="J11" i="90" s="1"/>
  <c r="K40" i="104"/>
  <c r="L40" i="104"/>
  <c r="R20" i="104"/>
  <c r="M22" i="90" l="1"/>
  <c r="M23" i="90"/>
  <c r="M25" i="90"/>
  <c r="M26" i="90"/>
  <c r="M21" i="90"/>
  <c r="M29" i="90"/>
  <c r="J85" i="90" s="1"/>
  <c r="M28" i="90"/>
  <c r="J81" i="90" s="1"/>
  <c r="K81" i="90" s="1"/>
  <c r="K80" i="90" s="1"/>
  <c r="J84" i="90"/>
  <c r="K85" i="90"/>
  <c r="K84" i="90" s="1"/>
  <c r="O81" i="90"/>
  <c r="L81" i="90"/>
  <c r="M81" i="90"/>
  <c r="N81" i="90" s="1"/>
  <c r="J80" i="90"/>
  <c r="R40" i="104"/>
  <c r="J8" i="90"/>
  <c r="I7" i="104"/>
  <c r="I8" i="104" s="1"/>
  <c r="G8" i="104" s="1"/>
  <c r="J44" i="90" l="1"/>
  <c r="J45" i="90" s="1"/>
  <c r="L80" i="90"/>
  <c r="O80" i="90"/>
  <c r="L85" i="90"/>
  <c r="M85" i="90"/>
  <c r="O85" i="90"/>
  <c r="L84" i="90"/>
  <c r="O84" i="90"/>
  <c r="N80" i="90"/>
  <c r="M80" i="90"/>
  <c r="J77" i="90"/>
  <c r="K77" i="90" s="1"/>
  <c r="K76" i="90" s="1"/>
  <c r="K44" i="90" l="1"/>
  <c r="M44" i="90" s="1"/>
  <c r="N44" i="90" s="1"/>
  <c r="M77" i="90"/>
  <c r="L77" i="90"/>
  <c r="O77" i="90"/>
  <c r="N85" i="90"/>
  <c r="N84" i="90" s="1"/>
  <c r="M84" i="90"/>
  <c r="J76" i="90"/>
  <c r="O44" i="90" l="1"/>
  <c r="L44" i="90"/>
  <c r="O76" i="90"/>
  <c r="L76" i="90"/>
  <c r="M76" i="90"/>
  <c r="N77" i="90"/>
  <c r="O50" i="90" l="1"/>
  <c r="N50" i="90"/>
  <c r="L47" i="90"/>
  <c r="J74" i="90"/>
  <c r="K74" i="90" s="1"/>
  <c r="I72" i="90"/>
  <c r="I68" i="90"/>
  <c r="J66" i="90"/>
  <c r="K66" i="90" s="1"/>
  <c r="I64" i="90"/>
  <c r="J62" i="90"/>
  <c r="K62" i="90" s="1"/>
  <c r="M62" i="90" s="1"/>
  <c r="I60" i="90"/>
  <c r="J58" i="90"/>
  <c r="K58" i="90" s="1"/>
  <c r="I56" i="90"/>
  <c r="J54" i="90"/>
  <c r="K54" i="90" s="1"/>
  <c r="J30" i="90"/>
  <c r="E22" i="90"/>
  <c r="E23" i="90" s="1"/>
  <c r="E24" i="90" s="1"/>
  <c r="E25" i="90" s="1"/>
  <c r="E26" i="90" s="1"/>
  <c r="E27" i="90" s="1"/>
  <c r="D144" i="54"/>
  <c r="I140" i="54"/>
  <c r="I4" i="54"/>
  <c r="L74" i="90" l="1"/>
  <c r="M74" i="90"/>
  <c r="O74" i="90" s="1"/>
  <c r="M66" i="90"/>
  <c r="N66" i="90" s="1"/>
  <c r="O66" i="90"/>
  <c r="L66" i="90"/>
  <c r="M58" i="90"/>
  <c r="O58" i="90" s="1"/>
  <c r="L58" i="90"/>
  <c r="L62" i="90"/>
  <c r="O62" i="90"/>
  <c r="L54" i="90"/>
  <c r="M54" i="90"/>
  <c r="K47" i="90"/>
  <c r="N58" i="90"/>
  <c r="N74" i="90"/>
  <c r="N62" i="90"/>
  <c r="N76" i="90"/>
  <c r="O47" i="90" l="1"/>
  <c r="E140" i="54"/>
  <c r="F140" i="54"/>
  <c r="D141" i="54"/>
  <c r="D142" i="54" s="1"/>
  <c r="H140" i="54"/>
  <c r="G140" i="54"/>
  <c r="J18" i="90"/>
  <c r="C143" i="54" l="1"/>
  <c r="J53" i="90"/>
  <c r="K53" i="90" s="1"/>
  <c r="J73" i="90"/>
  <c r="K73" i="90" s="1"/>
  <c r="K72" i="90" s="1"/>
  <c r="J69" i="90"/>
  <c r="K69" i="90" s="1"/>
  <c r="K68" i="90" s="1"/>
  <c r="J65" i="90"/>
  <c r="K65" i="90" s="1"/>
  <c r="K64" i="90" s="1"/>
  <c r="J61" i="90"/>
  <c r="K61" i="90" s="1"/>
  <c r="K60" i="90" s="1"/>
  <c r="J57" i="90"/>
  <c r="K57" i="90" s="1"/>
  <c r="K56" i="90" s="1"/>
  <c r="M57" i="90" l="1"/>
  <c r="N57" i="90" s="1"/>
  <c r="L57" i="90"/>
  <c r="L61" i="90"/>
  <c r="M61" i="90"/>
  <c r="M60" i="90" s="1"/>
  <c r="O61" i="90"/>
  <c r="M65" i="90"/>
  <c r="O65" i="90" s="1"/>
  <c r="L65" i="90"/>
  <c r="M69" i="90"/>
  <c r="O69" i="90" s="1"/>
  <c r="L69" i="90"/>
  <c r="L73" i="90"/>
  <c r="M73" i="90"/>
  <c r="O73" i="90" s="1"/>
  <c r="L53" i="90"/>
  <c r="M53" i="90"/>
  <c r="J60" i="90"/>
  <c r="J68" i="90"/>
  <c r="J56" i="90"/>
  <c r="J52" i="90"/>
  <c r="K52" i="90"/>
  <c r="J64" i="90"/>
  <c r="J72" i="90"/>
  <c r="M30" i="90"/>
  <c r="N53" i="90" l="1"/>
  <c r="M52" i="90"/>
  <c r="O57" i="90"/>
  <c r="M56" i="90"/>
  <c r="O53" i="90"/>
  <c r="N61" i="90"/>
  <c r="N60" i="90" s="1"/>
  <c r="L72" i="90"/>
  <c r="L64" i="90"/>
  <c r="L56" i="90"/>
  <c r="L68" i="90"/>
  <c r="L60" i="90"/>
  <c r="O60" i="90"/>
  <c r="M72" i="90"/>
  <c r="O72" i="90" s="1"/>
  <c r="N73" i="90"/>
  <c r="N72" i="90" s="1"/>
  <c r="M68" i="90"/>
  <c r="N69" i="90"/>
  <c r="N68" i="90" s="1"/>
  <c r="M64" i="90"/>
  <c r="N65" i="90"/>
  <c r="N64" i="90" s="1"/>
  <c r="J51" i="90"/>
  <c r="K51" i="90"/>
  <c r="L52" i="90"/>
  <c r="N56" i="90"/>
  <c r="O68" i="90" l="1"/>
  <c r="O64" i="90"/>
  <c r="O56" i="90"/>
  <c r="L51" i="90"/>
  <c r="N47" i="90" l="1"/>
  <c r="O54" i="90" l="1"/>
  <c r="N54" i="90"/>
  <c r="N52" i="90" s="1"/>
  <c r="N51" i="90" s="1"/>
  <c r="O52" i="90" l="1"/>
  <c r="M51" i="90"/>
  <c r="O51" i="90" s="1"/>
  <c r="K45" i="90" l="1"/>
  <c r="J46" i="90"/>
  <c r="K46" i="90" s="1"/>
  <c r="O38" i="90"/>
  <c r="L38" i="90"/>
  <c r="N38" i="90"/>
  <c r="M45" i="90" l="1"/>
  <c r="L45" i="90"/>
  <c r="M46" i="90"/>
  <c r="J37" i="90"/>
  <c r="K37" i="90"/>
  <c r="K89" i="90" s="1"/>
  <c r="L46" i="90"/>
  <c r="O46" i="90"/>
  <c r="J88" i="90" l="1"/>
  <c r="J89" i="90"/>
  <c r="N46" i="90"/>
  <c r="O45" i="90"/>
  <c r="N45" i="90"/>
  <c r="L37" i="90"/>
  <c r="L88" i="90" s="1"/>
  <c r="M37" i="90"/>
  <c r="M89" i="90" s="1"/>
  <c r="J90" i="90"/>
  <c r="K88" i="90"/>
  <c r="N37" i="90" l="1"/>
  <c r="N88" i="90" s="1"/>
  <c r="O37" i="90"/>
  <c r="L89" i="90"/>
  <c r="L90" i="90" s="1"/>
  <c r="M88" i="90"/>
  <c r="K90" i="90"/>
  <c r="N89" i="90" l="1"/>
  <c r="N90" i="90" s="1"/>
  <c r="O88" i="90"/>
  <c r="O89" i="90"/>
  <c r="M90" i="90"/>
  <c r="K10" i="121"/>
  <c r="H52" i="121" s="1"/>
  <c r="O90" i="90" l="1"/>
  <c r="J52" i="121"/>
  <c r="H56" i="121"/>
  <c r="J57" i="121" l="1"/>
  <c r="J56" i="1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E9277F-BC57-494F-905A-40B5DB3DDA8D}" keepAlive="1" name="Запрос — 1" description="Соединение с запросом &quot;1&quot; в книге." type="5" refreshedVersion="8" background="1" saveData="1">
    <dbPr connection="Provider=Microsoft.Mashup.OleDb.1;Data Source=$Workbook$;Location=1;Extended Properties=&quot;&quot;" command="SELECT * FROM [1]"/>
  </connection>
  <connection id="2" xr16:uid="{688B88B3-D963-4F76-9AE4-AB5AAD039071}" keepAlive="1" name="Запрос — 2" description="Соединение с запросом &quot;2&quot; в книге." type="5" refreshedVersion="8" background="1" saveData="1">
    <dbPr connection="Provider=Microsoft.Mashup.OleDb.1;Data Source=$Workbook$;Location=2;Extended Properties=&quot;&quot;" command="SELECT * FROM [2]"/>
  </connection>
  <connection id="3" xr16:uid="{4B686695-CF36-43D2-9B55-2D28E3140039}" keepAlive="1" name="Запрос — Text Document" description="Соединение с запросом &quot;Text Document&quot; в книге." type="5" refreshedVersion="8" background="1" saveData="1">
    <dbPr connection="Provider=Microsoft.Mashup.OleDb.1;Data Source=$Workbook$;Location=&quot;Text Document&quot;;Extended Properties=&quot;&quot;" command="SELECT * FROM [Text Document]"/>
  </connection>
  <connection id="4" xr16:uid="{3706AA49-52E9-4A09-9E19-7A38BA7A3204}" keepAlive="1" name="Запрос — укпг-7" description="Соединение с запросом &quot;укпг-7&quot; в книге." type="5" refreshedVersion="8" background="1" saveData="1">
    <dbPr connection="Provider=Microsoft.Mashup.OleDb.1;Data Source=$Workbook$;Location=укпг-7;Extended Properties=&quot;&quot;" command="SELECT * FROM [укпг-7]"/>
  </connection>
</connections>
</file>

<file path=xl/sharedStrings.xml><?xml version="1.0" encoding="utf-8"?>
<sst xmlns="http://schemas.openxmlformats.org/spreadsheetml/2006/main" count="2835" uniqueCount="296">
  <si>
    <t>Описание</t>
  </si>
  <si>
    <t>(Вт)</t>
  </si>
  <si>
    <t>(А)</t>
  </si>
  <si>
    <t>Командировочные расходы</t>
  </si>
  <si>
    <t>ALW</t>
  </si>
  <si>
    <t>Проезд</t>
  </si>
  <si>
    <t>Суточные</t>
  </si>
  <si>
    <t>п.п.</t>
  </si>
  <si>
    <t>HTL</t>
  </si>
  <si>
    <t>TRP</t>
  </si>
  <si>
    <t>ИТОГО
[TOTAL]</t>
  </si>
  <si>
    <t>Мощность предлагаемого ИБП, кВА [UPS, KVA]</t>
  </si>
  <si>
    <t>Ведущий инженер АСУТП</t>
  </si>
  <si>
    <t>Инженер АСУТП</t>
  </si>
  <si>
    <t>Проживание (гостиница)</t>
  </si>
  <si>
    <t xml:space="preserve">ИНЖЕНЕРНЫЕ СТАВКИ </t>
  </si>
  <si>
    <t>Себестоимость чел/ч</t>
  </si>
  <si>
    <t>Тип работ</t>
  </si>
  <si>
    <t>Себестоимость</t>
  </si>
  <si>
    <t>Транспортная стоимость</t>
  </si>
  <si>
    <t>Количество человеко- недель</t>
  </si>
  <si>
    <t>Стоимость проживания</t>
  </si>
  <si>
    <t>Обследование площадки</t>
  </si>
  <si>
    <t>Разработка технического задания</t>
  </si>
  <si>
    <t>Разработка технорабочего проекта (ТРП)</t>
  </si>
  <si>
    <t>Разработка прикладного программного обеспечения (ППО)</t>
  </si>
  <si>
    <t>Комплектация и размещение оборудования</t>
  </si>
  <si>
    <t>Контроль сборки</t>
  </si>
  <si>
    <t>Управление проектом</t>
  </si>
  <si>
    <t>Нормоконтроль</t>
  </si>
  <si>
    <t>Общая стоимость</t>
  </si>
  <si>
    <r>
      <t xml:space="preserve">Трудозатраты чел/ч         </t>
    </r>
    <r>
      <rPr>
        <sz val="11"/>
        <rFont val="Arial"/>
        <family val="2"/>
        <charset val="204"/>
      </rPr>
      <t>(можно менять)</t>
    </r>
  </si>
  <si>
    <r>
      <t>Количество человек</t>
    </r>
    <r>
      <rPr>
        <sz val="11"/>
        <rFont val="Arial"/>
        <family val="2"/>
        <charset val="204"/>
      </rPr>
      <t xml:space="preserve">        (можно менять)</t>
    </r>
  </si>
  <si>
    <t>Общая себестоимость</t>
  </si>
  <si>
    <t>Прибыль, %</t>
  </si>
  <si>
    <t>Строительно - мотажные работы (СМР)</t>
  </si>
  <si>
    <t xml:space="preserve">Описание </t>
  </si>
  <si>
    <t>Стоимость этапа с учетом накладных</t>
  </si>
  <si>
    <t>Позиция</t>
  </si>
  <si>
    <t>Количество</t>
  </si>
  <si>
    <t xml:space="preserve">Количество командировочных дней                    </t>
  </si>
  <si>
    <t>Наименование оборудования</t>
  </si>
  <si>
    <t>Итого без НДС</t>
  </si>
  <si>
    <t>Оборудование</t>
  </si>
  <si>
    <t>1-ое предложение (без скидки)</t>
  </si>
  <si>
    <t>Необходимость команировки</t>
  </si>
  <si>
    <t>да</t>
  </si>
  <si>
    <t>нет</t>
  </si>
  <si>
    <t>Выпуск сметы</t>
  </si>
  <si>
    <t>Технический контроль разработки проекта</t>
  </si>
  <si>
    <t>Шефмонтажные работы</t>
  </si>
  <si>
    <t>Проведение стажировки</t>
  </si>
  <si>
    <t>Работы</t>
  </si>
  <si>
    <t>2-ое предложение (со скидкой)</t>
  </si>
  <si>
    <t>№ п/п</t>
  </si>
  <si>
    <t>без НДС</t>
  </si>
  <si>
    <t>Условия платежа</t>
  </si>
  <si>
    <t>Ток</t>
  </si>
  <si>
    <t>Мощность</t>
  </si>
  <si>
    <t xml:space="preserve">Наименование модулей
</t>
  </si>
  <si>
    <t>шт.</t>
  </si>
  <si>
    <t>Напряжение =3В</t>
  </si>
  <si>
    <t>(В)</t>
  </si>
  <si>
    <t>Напряжение
=24В</t>
  </si>
  <si>
    <t>Напряжение
~220В</t>
  </si>
  <si>
    <t>Напряжение =5В</t>
  </si>
  <si>
    <t>Тестирование ПО под ОС Linux</t>
  </si>
  <si>
    <t xml:space="preserve">ОЦЕНКА ЭНЕРГОПОТРЕБЛЕНИЯ </t>
  </si>
  <si>
    <t>Количество модулей</t>
  </si>
  <si>
    <t>Ток нагрузки блока питания (А)</t>
  </si>
  <si>
    <t>Ток нагрузки (А)</t>
  </si>
  <si>
    <t>Завод изготовитель</t>
  </si>
  <si>
    <t>Доставка</t>
  </si>
  <si>
    <t>Руководитель подразделения</t>
  </si>
  <si>
    <t>Инженер</t>
  </si>
  <si>
    <t>Старший инженер</t>
  </si>
  <si>
    <t>Ведущий инженер</t>
  </si>
  <si>
    <t>Главный инженер</t>
  </si>
  <si>
    <t>Департамент</t>
  </si>
  <si>
    <t>Должность</t>
  </si>
  <si>
    <t>Грейд</t>
  </si>
  <si>
    <t>Департамент разработки ПО</t>
  </si>
  <si>
    <t>Департамент управления проектами (Сметный отдел)</t>
  </si>
  <si>
    <t>Специалист</t>
  </si>
  <si>
    <t>Старший специалист</t>
  </si>
  <si>
    <t>Ведущий специалист</t>
  </si>
  <si>
    <t xml:space="preserve">Главный специалист </t>
  </si>
  <si>
    <t>Специалисты</t>
  </si>
  <si>
    <t>Руководиель исполнения проектов</t>
  </si>
  <si>
    <t>Старший инженер АСУТП</t>
  </si>
  <si>
    <t>Ведущий инженер ПО</t>
  </si>
  <si>
    <t>Старший инженер ПО</t>
  </si>
  <si>
    <t>Инженер ПО</t>
  </si>
  <si>
    <t>Руководитель подразделения разработки ПО</t>
  </si>
  <si>
    <r>
      <t>Цена с НДС</t>
    </r>
    <r>
      <rPr>
        <sz val="11"/>
        <rFont val="Arial"/>
        <family val="2"/>
        <charset val="204"/>
      </rPr>
      <t xml:space="preserve"> (можно менять)</t>
    </r>
  </si>
  <si>
    <t>Необходимость командировки</t>
  </si>
  <si>
    <t>Работы интегратора</t>
  </si>
  <si>
    <t>Ед. изм.</t>
  </si>
  <si>
    <t>Срок вып. работ
недели</t>
  </si>
  <si>
    <t>Легенда</t>
  </si>
  <si>
    <t>Изменяемые значения</t>
  </si>
  <si>
    <t>Заблокированные значения</t>
  </si>
  <si>
    <t>Требуется контроль формулы</t>
  </si>
  <si>
    <t>№ ревизии:</t>
  </si>
  <si>
    <t>№ Изм.:</t>
  </si>
  <si>
    <t>постоплата 100%</t>
  </si>
  <si>
    <t>Итого по трудозатратам:</t>
  </si>
  <si>
    <t>ПО 3-х поставщиков</t>
  </si>
  <si>
    <t>Наименование расходов</t>
  </si>
  <si>
    <t>Коэф. %</t>
  </si>
  <si>
    <t>&lt;…….&gt;</t>
  </si>
  <si>
    <t>Ввести текстовое описание</t>
  </si>
  <si>
    <t>Наценка</t>
  </si>
  <si>
    <t>Скидка</t>
  </si>
  <si>
    <t>Конечный пользователь</t>
  </si>
  <si>
    <t>Партнер</t>
  </si>
  <si>
    <t>Сторонние данные</t>
  </si>
  <si>
    <t>Департамент исполнения проектов АСУ ТП</t>
  </si>
  <si>
    <t>Багдасарян Артем Артурович</t>
  </si>
  <si>
    <t>Обучение</t>
  </si>
  <si>
    <t>Специалист по обучению</t>
  </si>
  <si>
    <t>Дивизион внешнеэкономической деятельности и обеспечения бизнеса</t>
  </si>
  <si>
    <t>&lt;Наименование работ&gt; №7</t>
  </si>
  <si>
    <t>Итого по трудозатратам НВТ:</t>
  </si>
  <si>
    <t>Работы НВТ</t>
  </si>
  <si>
    <t>Пусконаладочные работы на площадке (ПНР)</t>
  </si>
  <si>
    <t>OEM Цена 1 лицензии в пакете</t>
  </si>
  <si>
    <t>N10</t>
  </si>
  <si>
    <t>N100</t>
  </si>
  <si>
    <t>N500</t>
  </si>
  <si>
    <t>N1000</t>
  </si>
  <si>
    <t>N2500</t>
  </si>
  <si>
    <t>N5000</t>
  </si>
  <si>
    <t>N10000</t>
  </si>
  <si>
    <t>РРЦ MasterPLC Retail</t>
  </si>
  <si>
    <t>Макс. кол-во точек*</t>
  </si>
  <si>
    <t>Примечание</t>
  </si>
  <si>
    <t>Исполнительная система MasterPLC на 1 процессор, включая:</t>
  </si>
  <si>
    <t>исполнение программ пользователя на языках МЭК 61131-3 и C#
функционал HTTP клиента, UDP клиента, отправки e-mail и SMS
модуль интеграции с ГИС (OpenStreet Map и Яндекс.Карты)
модуль интеграции с JSON
модуль поддержки COM-устройств
работу с внешними файлами и запуск сторонних приложений</t>
  </si>
  <si>
    <t>Драйверы:</t>
  </si>
  <si>
    <t>протоколов Modbus RTU/TCP Master и Slave
OPC UA сервер и клиент
сервера протокола МЭК 60870-5-104</t>
  </si>
  <si>
    <t>1 шт. на пакет лицензии</t>
  </si>
  <si>
    <t xml:space="preserve">Опции </t>
  </si>
  <si>
    <t>Клиент визуализации (за 1 клиента)</t>
  </si>
  <si>
    <t>Лицензия на основной контроллер. Резервный не лицензируется.
По 1 лицензии на каждый АРМ/Сервер/HMI. 
Инженерная станция — бесплатно.</t>
  </si>
  <si>
    <t>Функция архивирования (поддержка внешних БД)</t>
  </si>
  <si>
    <t>Поддержка функции резервирования</t>
  </si>
  <si>
    <t>Нужна только при резервировании. Для резервного ПЛК нужен тот же набор протоколов, но 0 клиентов визуализации.</t>
  </si>
  <si>
    <t>Поддержка централизованного управления пользователями</t>
  </si>
  <si>
    <t>Уточняется</t>
  </si>
  <si>
    <t>Драйверы протоколов</t>
  </si>
  <si>
    <t>клиент протокола Mitsubishi SLMP</t>
  </si>
  <si>
    <t>клиент протокола SNMP</t>
  </si>
  <si>
    <t>клиент протокола MQTT</t>
  </si>
  <si>
    <t>клиент протокола BACnet</t>
  </si>
  <si>
    <t>опроса SiemensPLC (Profinet)</t>
  </si>
  <si>
    <t>сервер протокола МЭК 61850 (slave)</t>
  </si>
  <si>
    <t>клиент протокола МЭК 61850 (master)</t>
  </si>
  <si>
    <t>клиент протокола МЭК 60870-5-104</t>
  </si>
  <si>
    <t>клиент протокола OMRON FINS и FINS Serial</t>
  </si>
  <si>
    <t>Драйверы оборудования (цена за 1 шт)**</t>
  </si>
  <si>
    <r>
      <rPr>
        <b/>
        <sz val="11"/>
        <color theme="1"/>
        <rFont val="Calibri"/>
        <family val="2"/>
        <charset val="204"/>
        <scheme val="minor"/>
      </rPr>
      <t xml:space="preserve">Счетчики электроэнергии:
</t>
    </r>
    <r>
      <rPr>
        <sz val="11"/>
        <color theme="1"/>
        <rFont val="Calibri"/>
        <family val="2"/>
        <charset val="204"/>
        <scheme val="minor"/>
      </rPr>
      <t>приборов учета по стандарту СПОДЭС (ГОСТ Р 58940-2020)
Энергомера СЕ301, СЕ303
Меркурий 230, 234, 236
НЗИФ СЭТ, ПСЧ</t>
    </r>
  </si>
  <si>
    <r>
      <rPr>
        <b/>
        <sz val="11"/>
        <color theme="1"/>
        <rFont val="Calibri"/>
        <family val="2"/>
        <charset val="204"/>
        <scheme val="minor"/>
      </rPr>
      <t xml:space="preserve">Счетчики тепла и энергии:
</t>
    </r>
    <r>
      <rPr>
        <sz val="11"/>
        <color theme="1"/>
        <rFont val="Calibri"/>
        <family val="2"/>
        <charset val="204"/>
        <scheme val="minor"/>
      </rPr>
      <t>теплосчётчиков ТЭМ-104, ТЭМ-106
теплосчётчиков ВЗЛЕТ ТСР-024М, ТСР-026М, ТСР-032, ТСР-034(033), ТСР-042, ТСР-043)
теплосчётчиков Теплоком Теплоком ВКТ-5, ВКТ-7, ВКТ-9
счетчиков-регистраторов Пульсар
теплосчётчиков МКТС
корректоров объема газа СПГ761, СПТ961
теплосчётчиков ЭСКО-Т</t>
    </r>
  </si>
  <si>
    <t>Функция архивирования (внуренняя БД и поддержка внешних БД)</t>
  </si>
  <si>
    <t>недоступно</t>
  </si>
  <si>
    <t>Модуль отчетов</t>
  </si>
  <si>
    <t>100</t>
  </si>
  <si>
    <t>500</t>
  </si>
  <si>
    <t>1000</t>
  </si>
  <si>
    <t>2500</t>
  </si>
  <si>
    <t>5000</t>
  </si>
  <si>
    <t>10000</t>
  </si>
  <si>
    <t>Клиент визуализации MasterPLC (за 1 клиента) 
Доступное для приобретение число клиентов</t>
  </si>
  <si>
    <t>Драйверы устройств</t>
  </si>
  <si>
    <t>1 шт. на контроллер</t>
  </si>
  <si>
    <t>По 1 лицензии на каждое подключение основного контроллера к АРМ/Сервер/HMI. 
Инженерная станция — бесплатно.
Резервный контроллер не лицензируется.</t>
  </si>
  <si>
    <t>MasterPLC.N1000</t>
  </si>
  <si>
    <t>Лицензия на клиент визуализации. 1000 точек</t>
  </si>
  <si>
    <t>Исполнительная система для программирования контроллеров. 1000 точек</t>
  </si>
  <si>
    <t>Визуализация.N1000</t>
  </si>
  <si>
    <t>Исполнительная система для программирования контроллеров. 500 точек</t>
  </si>
  <si>
    <t>Лицензия на клиент визуализации. 500 точек</t>
  </si>
  <si>
    <t>Исполнительная система для программирования контроллеров. 100 точек</t>
  </si>
  <si>
    <t>Лицензия на клиент визуализации. 100 точек</t>
  </si>
  <si>
    <t>Визуализация.N100</t>
  </si>
  <si>
    <t>MasterPLC.N100</t>
  </si>
  <si>
    <t>MasterPLC.N500</t>
  </si>
  <si>
    <t>Визуализация.N500</t>
  </si>
  <si>
    <r>
      <rPr>
        <b/>
        <sz val="12"/>
        <color theme="1"/>
        <rFont val="Calibri"/>
        <family val="2"/>
        <charset val="204"/>
        <scheme val="minor"/>
      </rPr>
      <t xml:space="preserve">Таблица подбирается выбирается на все контроллеры. </t>
    </r>
    <r>
      <rPr>
        <sz val="12"/>
        <color theme="1"/>
        <rFont val="Calibri"/>
        <family val="2"/>
        <scheme val="minor"/>
      </rPr>
      <t xml:space="preserve">
Выбираем столбец N100-N1000 по количеству точек
Тестировали на 1000 точек. Каждая точка это: 
- Канал в протоколе, у которого есть исходящая или входящая связь. 
- Вход/выход канала, у которого есть свои исходящие или входящие связи (но этих связей нет у самого канала). 
- Архивирование любых составляющих канала(Например, архивирование входа, выхода)</t>
    </r>
  </si>
  <si>
    <t>1 шт. на контроллер. 0, если не требуется</t>
  </si>
  <si>
    <t>Внизу пример на 1000 точек(ориентировочно 700 каналов)
2 АРМ, которые управляют всеми шкафами
Инженерная станция
2 шкафа. 1 HMI в каждом
В кажом шкафу 2 (пара) ПЛК c резервированием. Цена указана за все пакеты</t>
  </si>
  <si>
    <t>Участие в проведении ЗПИ</t>
  </si>
  <si>
    <t>&lt;Наименование работ&gt; №8</t>
  </si>
  <si>
    <t>НДС 22%</t>
  </si>
  <si>
    <t>Итого с НДС 22%</t>
  </si>
  <si>
    <t>Круглосуточная техническая поддержка</t>
  </si>
  <si>
    <t>ПО АРКС</t>
  </si>
  <si>
    <t>Расширеная гарантия более 24 мес.</t>
  </si>
  <si>
    <t/>
  </si>
  <si>
    <t>НВТ-Системы</t>
  </si>
  <si>
    <t xml:space="preserve">Разработка проекта в части ПТК АСУ ТП </t>
  </si>
  <si>
    <t>Разработка ППО (в объеме сигналов 729.002.Р.1.1/0.0003.ДКС.001.50106.036-АСУТП.ОЛ1)</t>
  </si>
  <si>
    <t>Наладка ПТК и комплексная наладка системы (не более 70 чел.-дней)</t>
  </si>
  <si>
    <t>Обучение персонала (оперативного и инженеров АСУ ТП)</t>
  </si>
  <si>
    <t>Сопровождение работ (Exara)</t>
  </si>
  <si>
    <t>Трудозатраты Exara</t>
  </si>
  <si>
    <t>Упр. и контр. Проекта со стороны Exara</t>
  </si>
  <si>
    <t>&lt;Наименование работ&gt; №9</t>
  </si>
  <si>
    <t>НВТ</t>
  </si>
  <si>
    <t>3-х поставщиков</t>
  </si>
  <si>
    <t>Итого по оборудованию 3-х поставщиков</t>
  </si>
  <si>
    <t>Итого по оборудованию Эксара</t>
  </si>
  <si>
    <t>Итого по оборудованию НВТ</t>
  </si>
  <si>
    <t>Спецификация оборудования Эксара</t>
  </si>
  <si>
    <t>Спецификация оборудования 3-х поставщиков</t>
  </si>
  <si>
    <t>Эксара</t>
  </si>
  <si>
    <t>Риск по курсу</t>
  </si>
  <si>
    <t>Прочие риски</t>
  </si>
  <si>
    <t>Скидка на Эксара</t>
  </si>
  <si>
    <t>Скидка на НВТ:</t>
  </si>
  <si>
    <t>Проектная Прибыль</t>
  </si>
  <si>
    <t>проектная Прибыль, %</t>
  </si>
  <si>
    <t>Данные Эксара</t>
  </si>
  <si>
    <t>Данные НВТ</t>
  </si>
  <si>
    <t>Номер</t>
  </si>
  <si>
    <t>Заказчик</t>
  </si>
  <si>
    <t>Объект</t>
  </si>
  <si>
    <t>Предмет</t>
  </si>
  <si>
    <t>Поставка оборудования АСУ ТП на базе ПТК АРКС400</t>
  </si>
  <si>
    <t>%</t>
  </si>
  <si>
    <t>НВТ ПО</t>
  </si>
  <si>
    <t>НВТ оборудование</t>
  </si>
  <si>
    <t>Эксара оборудование</t>
  </si>
  <si>
    <t>3-х поставшиков оборудование</t>
  </si>
  <si>
    <t>Норма прибыли оборудования</t>
  </si>
  <si>
    <t>Норма прибыли работ</t>
  </si>
  <si>
    <t>Работ</t>
  </si>
  <si>
    <t>Продажа</t>
  </si>
  <si>
    <t>Норма прибыли ПО</t>
  </si>
  <si>
    <t>3-х поставшиков ПО</t>
  </si>
  <si>
    <t>Себестоимость за единицу, руб.</t>
  </si>
  <si>
    <t>Прайсовая цена без НДС за единицу, руб.</t>
  </si>
  <si>
    <t>Себестоимость общая без НДС, руб.</t>
  </si>
  <si>
    <t>Прайсовая стоимость без НДС (Сумма), руб.</t>
  </si>
  <si>
    <t>Итого ПО НВТ</t>
  </si>
  <si>
    <t>Итого ПО 3-х поставщиков</t>
  </si>
  <si>
    <t>Спецификация ПО 3-х поставщиков</t>
  </si>
  <si>
    <t>ЗИП НВТ</t>
  </si>
  <si>
    <t>ЗИП Эксара</t>
  </si>
  <si>
    <t>ЗИП 3-х поставщиков</t>
  </si>
  <si>
    <t>ПО ИнСАТ</t>
  </si>
  <si>
    <t>Проектная Продажа</t>
  </si>
  <si>
    <t>Макс Продажа</t>
  </si>
  <si>
    <t>Макс Прибыль</t>
  </si>
  <si>
    <t>ИнСАТ ПО</t>
  </si>
  <si>
    <t>Итоговая СЕБЕСТОИМОСТЬ оборудования НВТ для Эксары</t>
  </si>
  <si>
    <t>Итоговая СЕБЕСТОИМОСТЬ оборудования 3-х поставщиков для Эксары</t>
  </si>
  <si>
    <t>НДС, в %</t>
  </si>
  <si>
    <t>с НДС</t>
  </si>
  <si>
    <t>Спецификация оборудования НВТ Цена для:</t>
  </si>
  <si>
    <t>Итоговая СТОИМОСТЬ оборудования НВТ для Заказчика</t>
  </si>
  <si>
    <t>Итоговая СТОИМОСТЬ оборудования 3-х поставщиков для Заказчика</t>
  </si>
  <si>
    <t>Скидка от прайса, в %</t>
  </si>
  <si>
    <t>Скидка Эксары от прайса, в %</t>
  </si>
  <si>
    <t>Итоговая стоимость, без НДС, руб.</t>
  </si>
  <si>
    <t>Прайсовая цена с НДС за единицу, руб.</t>
  </si>
  <si>
    <t>Прайсовая стоимость с НДС (Сумма), руб.</t>
  </si>
  <si>
    <t>Итоговая стоимость, с НДС, руб.</t>
  </si>
  <si>
    <t>МАРЖА</t>
  </si>
  <si>
    <t>Наценка, в %</t>
  </si>
  <si>
    <t>Спецификация ПО НВТ Цена для:</t>
  </si>
  <si>
    <t>Итого ПО ИнСАТ</t>
  </si>
  <si>
    <t>Спецификация ПО ИнСАТ</t>
  </si>
  <si>
    <t>Итоговая СЕБЕСТОИМОСТЬ ПО НВТ для Эксары</t>
  </si>
  <si>
    <t>Итоговая СТОИМОСТЬ ПО НВТ для Заказчика</t>
  </si>
  <si>
    <t>Итоговая СЕБЕСТОИМОСТЬ ПО 3-х поставщиков для Эксары</t>
  </si>
  <si>
    <t>Итоговая СТОИМОСТЬ ПО 3-х поставщиков для Заказчика</t>
  </si>
  <si>
    <t>Итоговая СТОИМОСТЬ ПО ИнСАТ для Заказчика</t>
  </si>
  <si>
    <t>Итоговая СТОИМОСТЬ оборудования Эксара для Заказчика</t>
  </si>
  <si>
    <t>Итого</t>
  </si>
  <si>
    <t>&lt;Наименование работ&gt; №4</t>
  </si>
  <si>
    <t>&lt;Наименование работ&gt; №5</t>
  </si>
  <si>
    <t>&lt;Наименование работ&gt; №6</t>
  </si>
  <si>
    <t>&lt;Наименование работ&gt; №1</t>
  </si>
  <si>
    <t>&lt;Наименование работ&gt; №2</t>
  </si>
  <si>
    <t>&lt;Наименование работ&gt; №3</t>
  </si>
  <si>
    <t>№ /1 от __.__.2026</t>
  </si>
  <si>
    <t>Количество шкафов</t>
  </si>
  <si>
    <t>Количество cигналов AI</t>
  </si>
  <si>
    <t>Количество cигналов AO</t>
  </si>
  <si>
    <t>Количество cигналов DI</t>
  </si>
  <si>
    <t>Количество cигналов DO</t>
  </si>
  <si>
    <t>Количество cигналов цифровых</t>
  </si>
  <si>
    <t>Коэффициент за сложность и колличество сигналов</t>
  </si>
  <si>
    <t>ШМР</t>
  </si>
  <si>
    <t>ПО (облагается НДС)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</si>
</sst>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_-* #,##0.00\ _₽_-;\-* #,##0.00\ _₽_-;_-* &quot;-&quot;??\ _₽_-;_-@_-"/>
    <numFmt numFmtId="165" formatCode="[$$-409]#,##0"/>
    <numFmt numFmtId="166" formatCode="_ &quot;$&quot;\ * #,##0.00_ ;_ &quot;$&quot;\ * \-#,##0.00_ ;_ &quot;$&quot;\ * &quot;-&quot;??_ ;_ @_ "/>
    <numFmt numFmtId="167" formatCode="##\ &quot;h&quot;"/>
    <numFmt numFmtId="168" formatCode="[$$-409]#,##0.00"/>
    <numFmt numFmtId="169" formatCode="0.0"/>
    <numFmt numFmtId="170" formatCode="#,##0.00\ &quot;₽&quot;"/>
    <numFmt numFmtId="171" formatCode="#,##0\ &quot;₽&quot;"/>
    <numFmt numFmtId="172" formatCode="#,##0_ ;\-#,##0\ "/>
    <numFmt numFmtId="173" formatCode="[$$-409]#,##0.0000"/>
    <numFmt numFmtId="174" formatCode="_-* #,##0_-;\-* #,##0_-;_-* &quot;-&quot;??_-;_-@_-"/>
  </numFmts>
  <fonts count="93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TimesET"/>
    </font>
    <font>
      <sz val="11"/>
      <name val="Arial"/>
      <family val="2"/>
      <charset val="204"/>
    </font>
    <font>
      <sz val="12"/>
      <name val="Arial"/>
      <family val="2"/>
      <charset val="204"/>
    </font>
    <font>
      <b/>
      <sz val="8"/>
      <color rgb="FFFFFFFF"/>
      <name val="arial"/>
      <family val="2"/>
      <charset val="204"/>
    </font>
    <font>
      <sz val="8"/>
      <color rgb="FFFFFFFF"/>
      <name val="arial"/>
      <family val="2"/>
      <charset val="204"/>
    </font>
    <font>
      <b/>
      <sz val="12"/>
      <color rgb="FFFFFFFF"/>
      <name val="arial"/>
      <family val="2"/>
      <charset val="204"/>
    </font>
    <font>
      <b/>
      <sz val="10"/>
      <name val="Arial Narrow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</font>
    <font>
      <b/>
      <sz val="12"/>
      <name val="NTHelvetica/Cyrillic"/>
    </font>
    <font>
      <b/>
      <sz val="11"/>
      <name val="PragmaticaCTT"/>
      <charset val="2"/>
    </font>
    <font>
      <b/>
      <i/>
      <sz val="9"/>
      <color indexed="37"/>
      <name val="Arial"/>
      <family val="2"/>
      <charset val="204"/>
    </font>
    <font>
      <sz val="12"/>
      <name val="PragmaticaCTT"/>
      <charset val="2"/>
    </font>
    <font>
      <sz val="10"/>
      <name val="Arial"/>
      <family val="2"/>
    </font>
    <font>
      <b/>
      <sz val="16"/>
      <name val="Arial Narrow"/>
      <family val="2"/>
    </font>
    <font>
      <b/>
      <sz val="10"/>
      <name val="NTHelvetica/Cyrillic"/>
    </font>
    <font>
      <u/>
      <sz val="9"/>
      <color indexed="12"/>
      <name val="Arial"/>
      <family val="2"/>
    </font>
    <font>
      <b/>
      <sz val="11"/>
      <color indexed="12"/>
      <name val="Arial"/>
      <family val="2"/>
    </font>
    <font>
      <sz val="8"/>
      <color indexed="9"/>
      <name val="Arial"/>
      <family val="2"/>
    </font>
    <font>
      <sz val="10"/>
      <color indexed="20"/>
      <name val="Arial"/>
      <family val="2"/>
    </font>
    <font>
      <b/>
      <sz val="14"/>
      <name val="Arial Black"/>
      <family val="2"/>
      <charset val="204"/>
    </font>
    <font>
      <sz val="10"/>
      <name val="Helv"/>
    </font>
    <font>
      <sz val="10"/>
      <color indexed="21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12"/>
      <color indexed="20"/>
      <name val="Arial"/>
      <family val="2"/>
    </font>
    <font>
      <b/>
      <sz val="10"/>
      <color indexed="8"/>
      <name val="MS Sans Serif"/>
      <family val="2"/>
      <charset val="204"/>
    </font>
    <font>
      <sz val="9"/>
      <name val="TimesET"/>
    </font>
    <font>
      <b/>
      <sz val="8"/>
      <color indexed="10"/>
      <name val="Arial"/>
      <family val="2"/>
    </font>
    <font>
      <b/>
      <sz val="10"/>
      <color indexed="20"/>
      <name val="Arial"/>
      <family val="2"/>
    </font>
    <font>
      <b/>
      <sz val="10"/>
      <color rgb="FFFF0000"/>
      <name val="Arial"/>
      <family val="2"/>
      <charset val="204"/>
    </font>
    <font>
      <b/>
      <sz val="11"/>
      <color theme="0"/>
      <name val="Arial"/>
      <family val="2"/>
      <charset val="204"/>
    </font>
    <font>
      <sz val="11"/>
      <color rgb="FF3F3F76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2"/>
      <name val="arial"/>
      <family val="2"/>
      <charset val="204"/>
    </font>
    <font>
      <sz val="11"/>
      <color rgb="FF000000"/>
      <name val="Calibri"/>
      <family val="2"/>
      <charset val="204"/>
    </font>
    <font>
      <b/>
      <sz val="16"/>
      <color rgb="FF000000"/>
      <name val="Trebuchet MS"/>
      <family val="2"/>
      <charset val="204"/>
    </font>
    <font>
      <b/>
      <sz val="11"/>
      <name val="Arial"/>
      <family val="2"/>
      <charset val="204"/>
    </font>
    <font>
      <sz val="1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8"/>
      <color rgb="FFFF0000"/>
      <name val="arial"/>
      <family val="2"/>
      <charset val="204"/>
    </font>
    <font>
      <sz val="16"/>
      <name val="Arial"/>
      <family val="2"/>
      <charset val="204"/>
    </font>
    <font>
      <b/>
      <sz val="16"/>
      <color theme="9" tint="-0.249977111117893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2"/>
    </font>
    <font>
      <sz val="12"/>
      <name val="宋体"/>
      <charset val="134"/>
    </font>
    <font>
      <b/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2"/>
      <color theme="9" tint="-0.499984740745262"/>
      <name val="arial"/>
      <family val="2"/>
      <charset val="204"/>
    </font>
    <font>
      <b/>
      <sz val="10"/>
      <color rgb="FFFFFFFF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2"/>
      <color theme="5" tint="-0.499984740745262"/>
      <name val="arial"/>
      <family val="2"/>
      <charset val="204"/>
    </font>
    <font>
      <sz val="11"/>
      <name val="Calibri"/>
      <family val="2"/>
      <charset val="204"/>
    </font>
    <font>
      <sz val="8"/>
      <name val="Arial"/>
      <family val="2"/>
      <charset val="204"/>
    </font>
  </fonts>
  <fills count="3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gray0625"/>
    </fill>
    <fill>
      <patternFill patternType="solid">
        <fgColor indexed="1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bgColor indexed="9"/>
      </patternFill>
    </fill>
    <fill>
      <patternFill patternType="solid">
        <fgColor indexed="42"/>
        <bgColor indexed="39"/>
      </patternFill>
    </fill>
    <fill>
      <patternFill patternType="lightGray"/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64"/>
      </patternFill>
    </fill>
  </fills>
  <borders count="1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auto="1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0000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 style="medium">
        <color indexed="64"/>
      </top>
      <bottom style="medium">
        <color rgb="FFD9D9D9"/>
      </bottom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/>
      <right style="medium">
        <color indexed="64"/>
      </right>
      <top/>
      <bottom style="medium">
        <color rgb="FFD9D9D9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 style="medium">
        <color indexed="64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  <border>
      <left style="medium">
        <color rgb="FFBFBFBF"/>
      </left>
      <right style="medium">
        <color rgb="FFBFBFBF"/>
      </right>
      <top/>
      <bottom/>
      <diagonal/>
    </border>
    <border>
      <left style="medium">
        <color rgb="FFBFBFBF"/>
      </left>
      <right/>
      <top style="medium">
        <color rgb="FFBFBFBF"/>
      </top>
      <bottom style="medium">
        <color rgb="FFBFBFBF"/>
      </bottom>
      <diagonal/>
    </border>
  </borders>
  <cellStyleXfs count="1262">
    <xf numFmtId="165" fontId="0" fillId="0" borderId="0">
      <alignment vertical="top"/>
    </xf>
    <xf numFmtId="4" fontId="26" fillId="0" borderId="0" applyFont="0" applyFill="0" applyBorder="0" applyProtection="0">
      <alignment horizontal="right" vertical="top" wrapText="1"/>
    </xf>
    <xf numFmtId="165" fontId="25" fillId="0" borderId="0">
      <alignment vertical="top"/>
    </xf>
    <xf numFmtId="0" fontId="22" fillId="0" borderId="0"/>
    <xf numFmtId="0" fontId="21" fillId="0" borderId="0"/>
    <xf numFmtId="0" fontId="20" fillId="0" borderId="0"/>
    <xf numFmtId="0" fontId="20" fillId="0" borderId="0"/>
    <xf numFmtId="0" fontId="34" fillId="0" borderId="0">
      <alignment vertical="top"/>
    </xf>
    <xf numFmtId="168" fontId="34" fillId="0" borderId="0">
      <alignment vertical="top"/>
    </xf>
    <xf numFmtId="168" fontId="47" fillId="0" borderId="0"/>
    <xf numFmtId="168" fontId="34" fillId="0" borderId="0">
      <alignment vertical="top"/>
    </xf>
    <xf numFmtId="168" fontId="47" fillId="0" borderId="0"/>
    <xf numFmtId="168" fontId="47" fillId="0" borderId="0"/>
    <xf numFmtId="168" fontId="47" fillId="0" borderId="0"/>
    <xf numFmtId="168" fontId="47" fillId="0" borderId="0"/>
    <xf numFmtId="168" fontId="47" fillId="0" borderId="0"/>
    <xf numFmtId="168" fontId="34" fillId="0" borderId="0">
      <alignment vertical="top"/>
    </xf>
    <xf numFmtId="168" fontId="34" fillId="0" borderId="0">
      <alignment vertical="top"/>
    </xf>
    <xf numFmtId="168" fontId="48" fillId="0" borderId="0" applyNumberFormat="0" applyBorder="0" applyAlignment="0"/>
    <xf numFmtId="3" fontId="43" fillId="5" borderId="10">
      <alignment horizontal="left" vertical="center"/>
    </xf>
    <xf numFmtId="168" fontId="46" fillId="0" borderId="0">
      <alignment horizontal="left" vertical="top"/>
    </xf>
    <xf numFmtId="166" fontId="25" fillId="0" borderId="0" applyFont="0" applyFill="0" applyBorder="0" applyAlignment="0" applyProtection="0"/>
    <xf numFmtId="3" fontId="49" fillId="0" borderId="11" applyNumberFormat="0" applyFont="0" applyFill="0" applyBorder="0" applyAlignment="0">
      <alignment horizontal="left" vertical="center"/>
      <protection locked="0"/>
    </xf>
    <xf numFmtId="168" fontId="25" fillId="6" borderId="0" applyNumberFormat="0" applyFont="0" applyBorder="0">
      <alignment horizontal="left" vertical="center"/>
    </xf>
    <xf numFmtId="168" fontId="41" fillId="5" borderId="5">
      <alignment horizontal="left" vertical="center" wrapText="1"/>
    </xf>
    <xf numFmtId="168" fontId="40" fillId="0" borderId="0" applyNumberFormat="0" applyFill="0" applyBorder="0" applyAlignment="0" applyProtection="0">
      <alignment horizontal="left" vertical="top"/>
    </xf>
    <xf numFmtId="168" fontId="24" fillId="0" borderId="0">
      <alignment horizontal="left" vertical="top"/>
    </xf>
    <xf numFmtId="168" fontId="37" fillId="0" borderId="0">
      <alignment horizontal="left" vertical="top"/>
    </xf>
    <xf numFmtId="168" fontId="44" fillId="0" borderId="0" applyNumberFormat="0" applyFill="0" applyBorder="0" applyAlignment="0"/>
    <xf numFmtId="168" fontId="50" fillId="7" borderId="12">
      <alignment horizontal="right"/>
    </xf>
    <xf numFmtId="168" fontId="42" fillId="0" borderId="0" applyNumberFormat="0" applyFill="0" applyBorder="0" applyAlignment="0" applyProtection="0">
      <alignment vertical="top"/>
      <protection locked="0"/>
    </xf>
    <xf numFmtId="3" fontId="50" fillId="8" borderId="13" applyBorder="0">
      <alignment horizontal="right" vertical="center"/>
      <protection locked="0"/>
    </xf>
    <xf numFmtId="168" fontId="45" fillId="0" borderId="12">
      <alignment horizontal="left"/>
    </xf>
    <xf numFmtId="3" fontId="51" fillId="9" borderId="10">
      <alignment vertical="center"/>
    </xf>
    <xf numFmtId="3" fontId="52" fillId="0" borderId="14" applyNumberFormat="0" applyFont="0" applyAlignment="0">
      <alignment vertical="center"/>
    </xf>
    <xf numFmtId="168" fontId="53" fillId="0" borderId="0">
      <alignment horizontal="left" vertical="top"/>
    </xf>
    <xf numFmtId="168" fontId="34" fillId="0" borderId="0">
      <alignment vertical="top"/>
    </xf>
    <xf numFmtId="1" fontId="23" fillId="0" borderId="0">
      <alignment horizontal="center" vertical="top" wrapText="1"/>
    </xf>
    <xf numFmtId="168" fontId="54" fillId="10" borderId="0" applyNumberFormat="0" applyFill="0" applyBorder="0" applyAlignment="0"/>
    <xf numFmtId="4" fontId="36" fillId="5" borderId="2">
      <alignment horizontal="left" vertical="center" wrapText="1"/>
    </xf>
    <xf numFmtId="4" fontId="33" fillId="0" borderId="6">
      <alignment vertical="center" wrapText="1"/>
    </xf>
    <xf numFmtId="168" fontId="25" fillId="0" borderId="14"/>
    <xf numFmtId="168" fontId="35" fillId="11" borderId="5" applyNumberFormat="0" applyProtection="0">
      <alignment horizontal="left" vertical="center" wrapText="1"/>
    </xf>
    <xf numFmtId="4" fontId="38" fillId="5" borderId="6">
      <alignment vertical="top" wrapText="1"/>
    </xf>
    <xf numFmtId="167" fontId="39" fillId="0" borderId="0"/>
    <xf numFmtId="3" fontId="55" fillId="0" borderId="14"/>
    <xf numFmtId="0" fontId="20" fillId="0" borderId="0"/>
    <xf numFmtId="0" fontId="20" fillId="0" borderId="0"/>
    <xf numFmtId="0" fontId="25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/>
    <xf numFmtId="0" fontId="58" fillId="16" borderId="9" applyNumberFormat="0" applyAlignment="0" applyProtection="0"/>
    <xf numFmtId="0" fontId="17" fillId="0" borderId="0"/>
    <xf numFmtId="9" fontId="59" fillId="0" borderId="0" applyFont="0" applyFill="0" applyBorder="0" applyAlignment="0" applyProtection="0"/>
    <xf numFmtId="0" fontId="15" fillId="0" borderId="0"/>
    <xf numFmtId="0" fontId="64" fillId="0" borderId="0"/>
    <xf numFmtId="165" fontId="25" fillId="0" borderId="0">
      <alignment vertical="top"/>
    </xf>
    <xf numFmtId="0" fontId="14" fillId="0" borderId="0"/>
    <xf numFmtId="9" fontId="25" fillId="0" borderId="0" applyFont="0" applyFill="0" applyBorder="0" applyAlignment="0" applyProtection="0"/>
    <xf numFmtId="44" fontId="6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6" fillId="0" borderId="0"/>
    <xf numFmtId="0" fontId="13" fillId="0" borderId="0"/>
    <xf numFmtId="0" fontId="13" fillId="0" borderId="0"/>
    <xf numFmtId="44" fontId="25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6" fillId="0" borderId="0"/>
    <xf numFmtId="0" fontId="13" fillId="0" borderId="0"/>
    <xf numFmtId="0" fontId="13" fillId="0" borderId="0"/>
    <xf numFmtId="44" fontId="25" fillId="0" borderId="0" applyFont="0" applyFill="0" applyBorder="0" applyAlignment="0" applyProtection="0"/>
    <xf numFmtId="165" fontId="25" fillId="0" borderId="0">
      <alignment vertical="top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165" fontId="25" fillId="0" borderId="0">
      <alignment vertical="top"/>
    </xf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73" fillId="0" borderId="0"/>
    <xf numFmtId="9" fontId="12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74" fillId="0" borderId="0">
      <alignment vertical="center"/>
    </xf>
    <xf numFmtId="165" fontId="25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166" fontId="25" fillId="0" borderId="0" applyFont="0" applyFill="0" applyBorder="0" applyAlignment="0" applyProtection="0"/>
    <xf numFmtId="0" fontId="12" fillId="0" borderId="0"/>
    <xf numFmtId="0" fontId="12" fillId="0" borderId="0"/>
    <xf numFmtId="0" fontId="2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9" fillId="0" borderId="0">
      <alignment vertical="center"/>
    </xf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5" fontId="25" fillId="0" borderId="0">
      <alignment vertical="top"/>
    </xf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75" fillId="0" borderId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76" fillId="0" borderId="0">
      <alignment vertical="center"/>
    </xf>
    <xf numFmtId="44" fontId="12" fillId="0" borderId="0" applyFont="0" applyFill="0" applyBorder="0" applyAlignment="0" applyProtection="0"/>
    <xf numFmtId="165" fontId="25" fillId="0" borderId="0">
      <alignment vertical="top"/>
    </xf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11" fillId="0" borderId="0"/>
    <xf numFmtId="44" fontId="11" fillId="0" borderId="0" applyFont="0" applyFill="0" applyBorder="0" applyAlignment="0" applyProtection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44" fontId="11" fillId="0" borderId="0" applyFont="0" applyFill="0" applyBorder="0" applyAlignment="0" applyProtection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1" fillId="0" borderId="0"/>
    <xf numFmtId="44" fontId="11" fillId="0" borderId="0" applyFont="0" applyFill="0" applyBorder="0" applyAlignment="0" applyProtection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1" fillId="0" borderId="0"/>
    <xf numFmtId="0" fontId="10" fillId="0" borderId="0"/>
    <xf numFmtId="0" fontId="9" fillId="0" borderId="0"/>
    <xf numFmtId="43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43" fontId="73" fillId="0" borderId="0" applyFont="0" applyFill="0" applyBorder="0" applyAlignment="0" applyProtection="0"/>
    <xf numFmtId="0" fontId="4" fillId="0" borderId="0"/>
    <xf numFmtId="0" fontId="2" fillId="0" borderId="0"/>
  </cellStyleXfs>
  <cellXfs count="556">
    <xf numFmtId="165" fontId="0" fillId="0" borderId="0" xfId="0" applyAlignment="1"/>
    <xf numFmtId="0" fontId="25" fillId="0" borderId="0" xfId="0" applyNumberFormat="1" applyFont="1">
      <alignment vertical="top"/>
    </xf>
    <xf numFmtId="0" fontId="0" fillId="0" borderId="0" xfId="0" applyNumberFormat="1" applyAlignment="1"/>
    <xf numFmtId="0" fontId="25" fillId="0" borderId="0" xfId="0" applyNumberFormat="1" applyFont="1" applyAlignment="1"/>
    <xf numFmtId="0" fontId="29" fillId="2" borderId="0" xfId="2" applyNumberFormat="1" applyFont="1" applyFill="1">
      <alignment vertical="top"/>
    </xf>
    <xf numFmtId="0" fontId="31" fillId="2" borderId="0" xfId="2" applyNumberFormat="1" applyFont="1" applyFill="1">
      <alignment vertical="top"/>
    </xf>
    <xf numFmtId="0" fontId="30" fillId="2" borderId="0" xfId="2" applyNumberFormat="1" applyFont="1" applyFill="1">
      <alignment vertical="top"/>
    </xf>
    <xf numFmtId="0" fontId="28" fillId="0" borderId="0" xfId="0" applyNumberFormat="1" applyFont="1" applyAlignment="1"/>
    <xf numFmtId="0" fontId="25" fillId="0" borderId="0" xfId="0" applyNumberFormat="1" applyFont="1" applyAlignment="1">
      <alignment horizontal="center" vertical="top"/>
    </xf>
    <xf numFmtId="0" fontId="25" fillId="0" borderId="0" xfId="0" applyNumberFormat="1" applyFont="1" applyAlignment="1">
      <alignment horizontal="left" vertical="top"/>
    </xf>
    <xf numFmtId="0" fontId="25" fillId="0" borderId="4" xfId="0" applyNumberFormat="1" applyFont="1" applyBorder="1" applyAlignment="1">
      <alignment horizontal="center" vertical="center" wrapText="1"/>
    </xf>
    <xf numFmtId="0" fontId="25" fillId="0" borderId="0" xfId="0" applyNumberFormat="1" applyFont="1" applyAlignment="1">
      <alignment horizontal="center" vertical="center"/>
    </xf>
    <xf numFmtId="0" fontId="32" fillId="0" borderId="15" xfId="0" applyNumberFormat="1" applyFont="1" applyBorder="1" applyAlignment="1">
      <alignment horizontal="center" vertical="center" wrapText="1"/>
    </xf>
    <xf numFmtId="0" fontId="25" fillId="0" borderId="18" xfId="0" applyNumberFormat="1" applyFont="1" applyBorder="1" applyAlignment="1">
      <alignment horizontal="center" vertical="top"/>
    </xf>
    <xf numFmtId="0" fontId="24" fillId="0" borderId="18" xfId="0" applyNumberFormat="1" applyFont="1" applyBorder="1" applyAlignment="1">
      <alignment horizontal="center" vertical="top"/>
    </xf>
    <xf numFmtId="0" fontId="25" fillId="0" borderId="19" xfId="0" applyNumberFormat="1" applyFont="1" applyBorder="1" applyAlignment="1">
      <alignment horizontal="left" vertical="top" wrapText="1"/>
    </xf>
    <xf numFmtId="0" fontId="25" fillId="0" borderId="20" xfId="0" applyNumberFormat="1" applyFont="1" applyBorder="1" applyAlignment="1">
      <alignment horizontal="center" vertical="center"/>
    </xf>
    <xf numFmtId="0" fontId="24" fillId="0" borderId="19" xfId="0" applyNumberFormat="1" applyFont="1" applyBorder="1" applyAlignment="1">
      <alignment horizontal="center" vertical="top"/>
    </xf>
    <xf numFmtId="0" fontId="29" fillId="3" borderId="0" xfId="2" applyNumberFormat="1" applyFont="1" applyFill="1">
      <alignment vertical="top"/>
    </xf>
    <xf numFmtId="0" fontId="31" fillId="3" borderId="0" xfId="2" applyNumberFormat="1" applyFont="1" applyFill="1">
      <alignment vertical="top"/>
    </xf>
    <xf numFmtId="0" fontId="30" fillId="3" borderId="0" xfId="2" applyNumberFormat="1" applyFont="1" applyFill="1">
      <alignment vertical="top"/>
    </xf>
    <xf numFmtId="0" fontId="25" fillId="0" borderId="4" xfId="0" applyNumberFormat="1" applyFont="1" applyBorder="1" applyAlignment="1">
      <alignment horizontal="center" vertical="center" textRotation="90" wrapText="1"/>
    </xf>
    <xf numFmtId="0" fontId="25" fillId="0" borderId="26" xfId="0" applyNumberFormat="1" applyFont="1" applyBorder="1" applyAlignment="1">
      <alignment horizontal="center" vertical="top"/>
    </xf>
    <xf numFmtId="0" fontId="25" fillId="0" borderId="19" xfId="0" applyNumberFormat="1" applyFont="1" applyBorder="1" applyAlignment="1">
      <alignment horizontal="center" vertical="center"/>
    </xf>
    <xf numFmtId="0" fontId="25" fillId="0" borderId="18" xfId="0" applyNumberFormat="1" applyFont="1" applyBorder="1" applyAlignment="1">
      <alignment horizontal="center" vertical="center"/>
    </xf>
    <xf numFmtId="1" fontId="25" fillId="0" borderId="18" xfId="0" applyNumberFormat="1" applyFont="1" applyBorder="1" applyAlignment="1">
      <alignment horizontal="center" vertical="center"/>
    </xf>
    <xf numFmtId="1" fontId="25" fillId="17" borderId="7" xfId="0" applyNumberFormat="1" applyFont="1" applyFill="1" applyBorder="1" applyAlignment="1">
      <alignment horizontal="center" vertical="center"/>
    </xf>
    <xf numFmtId="0" fontId="24" fillId="0" borderId="31" xfId="2" applyNumberFormat="1" applyFont="1" applyBorder="1" applyAlignment="1">
      <alignment horizontal="center" vertical="center"/>
    </xf>
    <xf numFmtId="170" fontId="0" fillId="0" borderId="0" xfId="0" applyNumberFormat="1" applyAlignment="1"/>
    <xf numFmtId="170" fontId="24" fillId="0" borderId="31" xfId="2" applyNumberFormat="1" applyFont="1" applyBorder="1" applyAlignment="1" applyProtection="1">
      <alignment horizontal="center" vertical="center" wrapText="1"/>
      <protection locked="0"/>
    </xf>
    <xf numFmtId="0" fontId="24" fillId="0" borderId="31" xfId="2" applyNumberFormat="1" applyFont="1" applyBorder="1" applyAlignment="1">
      <alignment horizontal="center" vertical="center" wrapText="1"/>
    </xf>
    <xf numFmtId="0" fontId="24" fillId="0" borderId="4" xfId="0" applyNumberFormat="1" applyFont="1" applyBorder="1" applyAlignment="1">
      <alignment horizontal="center" vertical="center" textRotation="90" wrapText="1"/>
    </xf>
    <xf numFmtId="0" fontId="24" fillId="17" borderId="7" xfId="0" applyNumberFormat="1" applyFont="1" applyFill="1" applyBorder="1" applyAlignment="1">
      <alignment horizontal="center" vertical="center"/>
    </xf>
    <xf numFmtId="0" fontId="24" fillId="12" borderId="7" xfId="0" applyNumberFormat="1" applyFont="1" applyFill="1" applyBorder="1" applyAlignment="1">
      <alignment horizontal="center" vertical="center"/>
    </xf>
    <xf numFmtId="0" fontId="24" fillId="17" borderId="7" xfId="0" applyNumberFormat="1" applyFont="1" applyFill="1" applyBorder="1" applyAlignment="1">
      <alignment horizontal="left" vertical="top"/>
    </xf>
    <xf numFmtId="0" fontId="24" fillId="12" borderId="7" xfId="0" applyNumberFormat="1" applyFont="1" applyFill="1" applyBorder="1" applyAlignment="1">
      <alignment horizontal="left" vertical="top"/>
    </xf>
    <xf numFmtId="0" fontId="24" fillId="3" borderId="31" xfId="0" applyNumberFormat="1" applyFont="1" applyFill="1" applyBorder="1" applyAlignment="1">
      <alignment horizontal="center" vertical="center" wrapText="1"/>
    </xf>
    <xf numFmtId="170" fontId="25" fillId="0" borderId="0" xfId="2" applyNumberFormat="1" applyAlignment="1" applyProtection="1">
      <alignment horizontal="center" vertical="center" wrapText="1"/>
      <protection locked="0"/>
    </xf>
    <xf numFmtId="170" fontId="63" fillId="3" borderId="19" xfId="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56" fillId="0" borderId="0" xfId="0" applyNumberFormat="1" applyFont="1" applyAlignment="1"/>
    <xf numFmtId="0" fontId="61" fillId="0" borderId="0" xfId="0" applyNumberFormat="1" applyFont="1" applyAlignment="1"/>
    <xf numFmtId="0" fontId="0" fillId="0" borderId="0" xfId="0" applyNumberFormat="1" applyAlignment="1">
      <alignment vertical="center"/>
    </xf>
    <xf numFmtId="0" fontId="24" fillId="3" borderId="52" xfId="0" applyNumberFormat="1" applyFont="1" applyFill="1" applyBorder="1" applyAlignment="1">
      <alignment vertical="center" wrapText="1"/>
    </xf>
    <xf numFmtId="170" fontId="62" fillId="0" borderId="0" xfId="0" applyNumberFormat="1" applyFont="1" applyAlignment="1">
      <alignment horizontal="right" vertical="center"/>
    </xf>
    <xf numFmtId="170" fontId="0" fillId="0" borderId="0" xfId="0" applyNumberFormat="1" applyAlignment="1">
      <alignment vertical="center"/>
    </xf>
    <xf numFmtId="170" fontId="63" fillId="3" borderId="0" xfId="2" applyNumberFormat="1" applyFont="1" applyFill="1" applyAlignment="1">
      <alignment horizontal="right" vertical="center"/>
    </xf>
    <xf numFmtId="0" fontId="24" fillId="0" borderId="32" xfId="0" applyNumberFormat="1" applyFont="1" applyBorder="1" applyAlignment="1">
      <alignment horizontal="center" vertical="center" wrapText="1"/>
    </xf>
    <xf numFmtId="0" fontId="25" fillId="17" borderId="21" xfId="0" applyNumberFormat="1" applyFont="1" applyFill="1" applyBorder="1" applyAlignment="1">
      <alignment horizontal="center" vertical="center"/>
    </xf>
    <xf numFmtId="0" fontId="25" fillId="24" borderId="21" xfId="0" applyNumberFormat="1" applyFont="1" applyFill="1" applyBorder="1" applyAlignment="1" applyProtection="1">
      <protection locked="0"/>
    </xf>
    <xf numFmtId="0" fontId="0" fillId="24" borderId="21" xfId="0" applyNumberFormat="1" applyFill="1" applyBorder="1" applyAlignment="1" applyProtection="1">
      <protection locked="0"/>
    </xf>
    <xf numFmtId="170" fontId="25" fillId="17" borderId="49" xfId="2" applyNumberFormat="1" applyFill="1" applyBorder="1" applyAlignment="1">
      <alignment horizontal="center" vertical="center" wrapText="1"/>
    </xf>
    <xf numFmtId="170" fontId="25" fillId="17" borderId="14" xfId="2" applyNumberFormat="1" applyFill="1" applyBorder="1" applyAlignment="1">
      <alignment horizontal="center" vertical="center" wrapText="1"/>
    </xf>
    <xf numFmtId="170" fontId="63" fillId="3" borderId="18" xfId="2" applyNumberFormat="1" applyFont="1" applyFill="1" applyBorder="1" applyAlignment="1">
      <alignment horizontal="right" vertical="center"/>
    </xf>
    <xf numFmtId="165" fontId="25" fillId="0" borderId="7" xfId="0" applyFont="1" applyBorder="1" applyAlignment="1"/>
    <xf numFmtId="165" fontId="0" fillId="24" borderId="7" xfId="0" applyFill="1" applyBorder="1" applyAlignment="1"/>
    <xf numFmtId="165" fontId="0" fillId="23" borderId="7" xfId="0" applyFill="1" applyBorder="1" applyAlignment="1"/>
    <xf numFmtId="165" fontId="0" fillId="4" borderId="7" xfId="0" applyFill="1" applyBorder="1" applyAlignment="1"/>
    <xf numFmtId="172" fontId="0" fillId="0" borderId="7" xfId="66" applyNumberFormat="1" applyFont="1" applyBorder="1" applyAlignment="1"/>
    <xf numFmtId="165" fontId="0" fillId="0" borderId="7" xfId="0" applyBorder="1" applyAlignment="1"/>
    <xf numFmtId="165" fontId="24" fillId="17" borderId="7" xfId="0" applyFont="1" applyFill="1" applyBorder="1" applyAlignment="1">
      <alignment horizontal="right"/>
    </xf>
    <xf numFmtId="165" fontId="24" fillId="17" borderId="7" xfId="0" applyFont="1" applyFill="1" applyBorder="1" applyAlignment="1">
      <alignment horizontal="center" vertical="center"/>
    </xf>
    <xf numFmtId="172" fontId="0" fillId="0" borderId="0" xfId="66" applyNumberFormat="1" applyFont="1" applyBorder="1" applyAlignment="1"/>
    <xf numFmtId="165" fontId="24" fillId="17" borderId="7" xfId="0" applyFont="1" applyFill="1" applyBorder="1" applyAlignment="1">
      <alignment horizontal="right" vertical="center"/>
    </xf>
    <xf numFmtId="0" fontId="0" fillId="17" borderId="21" xfId="0" applyNumberFormat="1" applyFill="1" applyBorder="1" applyAlignment="1">
      <alignment horizontal="left"/>
    </xf>
    <xf numFmtId="0" fontId="0" fillId="0" borderId="55" xfId="0" applyNumberFormat="1" applyBorder="1" applyAlignment="1">
      <alignment horizontal="center"/>
    </xf>
    <xf numFmtId="0" fontId="0" fillId="0" borderId="13" xfId="0" applyNumberFormat="1" applyBorder="1" applyAlignment="1">
      <alignment horizontal="center"/>
    </xf>
    <xf numFmtId="0" fontId="0" fillId="0" borderId="57" xfId="0" applyNumberFormat="1" applyBorder="1" applyAlignment="1">
      <alignment horizontal="center"/>
    </xf>
    <xf numFmtId="0" fontId="0" fillId="0" borderId="54" xfId="0" applyNumberFormat="1" applyBorder="1" applyAlignment="1">
      <alignment horizontal="center"/>
    </xf>
    <xf numFmtId="0" fontId="0" fillId="0" borderId="13" xfId="0" applyNumberFormat="1" applyBorder="1" applyAlignment="1">
      <alignment horizontal="center" vertical="center"/>
    </xf>
    <xf numFmtId="0" fontId="25" fillId="0" borderId="56" xfId="0" applyNumberFormat="1" applyFont="1" applyBorder="1" applyAlignment="1">
      <alignment horizontal="right" vertical="center"/>
    </xf>
    <xf numFmtId="0" fontId="25" fillId="0" borderId="56" xfId="0" applyNumberFormat="1" applyFont="1" applyBorder="1" applyAlignment="1">
      <alignment vertical="center"/>
    </xf>
    <xf numFmtId="0" fontId="25" fillId="17" borderId="10" xfId="0" applyNumberFormat="1" applyFont="1" applyFill="1" applyBorder="1" applyAlignment="1">
      <alignment horizontal="center" vertical="center"/>
    </xf>
    <xf numFmtId="3" fontId="24" fillId="17" borderId="27" xfId="0" applyNumberFormat="1" applyFont="1" applyFill="1" applyBorder="1" applyAlignment="1">
      <alignment horizontal="left" vertical="center"/>
    </xf>
    <xf numFmtId="0" fontId="25" fillId="24" borderId="21" xfId="0" applyNumberFormat="1" applyFont="1" applyFill="1" applyBorder="1" applyAlignment="1" applyProtection="1">
      <alignment horizontal="left" vertical="center"/>
      <protection locked="0"/>
    </xf>
    <xf numFmtId="0" fontId="0" fillId="24" borderId="21" xfId="0" applyNumberFormat="1" applyFill="1" applyBorder="1" applyAlignment="1" applyProtection="1">
      <alignment horizontal="left"/>
      <protection locked="0"/>
    </xf>
    <xf numFmtId="0" fontId="27" fillId="0" borderId="34" xfId="0" applyNumberFormat="1" applyFont="1" applyBorder="1" applyAlignment="1">
      <alignment vertical="center"/>
    </xf>
    <xf numFmtId="170" fontId="66" fillId="0" borderId="40" xfId="0" applyNumberFormat="1" applyFont="1" applyBorder="1" applyAlignment="1">
      <alignment horizontal="center" vertical="center"/>
    </xf>
    <xf numFmtId="170" fontId="66" fillId="0" borderId="64" xfId="0" applyNumberFormat="1" applyFont="1" applyBorder="1" applyAlignment="1">
      <alignment horizontal="center" vertical="center"/>
    </xf>
    <xf numFmtId="170" fontId="66" fillId="0" borderId="39" xfId="0" applyNumberFormat="1" applyFont="1" applyBorder="1" applyAlignment="1">
      <alignment horizontal="center" vertical="center"/>
    </xf>
    <xf numFmtId="170" fontId="69" fillId="0" borderId="39" xfId="0" applyNumberFormat="1" applyFont="1" applyBorder="1" applyAlignment="1">
      <alignment horizontal="center" vertical="center"/>
    </xf>
    <xf numFmtId="170" fontId="69" fillId="0" borderId="41" xfId="0" applyNumberFormat="1" applyFont="1" applyBorder="1" applyAlignment="1">
      <alignment horizontal="center" vertical="center"/>
    </xf>
    <xf numFmtId="0" fontId="27" fillId="0" borderId="37" xfId="0" applyNumberFormat="1" applyFont="1" applyBorder="1" applyAlignment="1">
      <alignment vertical="center"/>
    </xf>
    <xf numFmtId="165" fontId="69" fillId="17" borderId="47" xfId="0" applyFont="1" applyFill="1" applyBorder="1" applyAlignment="1">
      <alignment horizontal="left" vertical="center"/>
    </xf>
    <xf numFmtId="165" fontId="27" fillId="17" borderId="8" xfId="0" applyFont="1" applyFill="1" applyBorder="1" applyAlignment="1">
      <alignment horizontal="left" vertical="center"/>
    </xf>
    <xf numFmtId="9" fontId="60" fillId="24" borderId="37" xfId="0" applyNumberFormat="1" applyFont="1" applyFill="1" applyBorder="1" applyAlignment="1" applyProtection="1">
      <alignment horizontal="center" vertical="center" wrapText="1"/>
      <protection locked="0"/>
    </xf>
    <xf numFmtId="165" fontId="66" fillId="17" borderId="47" xfId="0" applyFont="1" applyFill="1" applyBorder="1" applyAlignment="1">
      <alignment horizontal="left" vertical="center"/>
    </xf>
    <xf numFmtId="0" fontId="27" fillId="0" borderId="42" xfId="0" applyNumberFormat="1" applyFont="1" applyBorder="1" applyAlignment="1">
      <alignment vertical="center"/>
    </xf>
    <xf numFmtId="165" fontId="69" fillId="17" borderId="8" xfId="0" applyFont="1" applyFill="1" applyBorder="1" applyAlignment="1">
      <alignment horizontal="right" vertical="center"/>
    </xf>
    <xf numFmtId="0" fontId="27" fillId="0" borderId="40" xfId="0" applyNumberFormat="1" applyFont="1" applyBorder="1" applyAlignment="1">
      <alignment vertical="center"/>
    </xf>
    <xf numFmtId="165" fontId="69" fillId="17" borderId="64" xfId="0" applyFont="1" applyFill="1" applyBorder="1" applyAlignment="1">
      <alignment horizontal="right" vertical="center"/>
    </xf>
    <xf numFmtId="165" fontId="0" fillId="25" borderId="7" xfId="0" applyFill="1" applyBorder="1" applyAlignment="1"/>
    <xf numFmtId="0" fontId="0" fillId="24" borderId="21" xfId="0" applyNumberFormat="1" applyFill="1" applyBorder="1" applyAlignment="1" applyProtection="1">
      <alignment horizontal="center" vertical="center"/>
      <protection locked="0"/>
    </xf>
    <xf numFmtId="0" fontId="25" fillId="24" borderId="10" xfId="0" applyNumberFormat="1" applyFont="1" applyFill="1" applyBorder="1" applyAlignment="1" applyProtection="1">
      <protection locked="0"/>
    </xf>
    <xf numFmtId="0" fontId="25" fillId="24" borderId="14" xfId="0" applyNumberFormat="1" applyFont="1" applyFill="1" applyBorder="1" applyAlignment="1" applyProtection="1">
      <alignment vertical="center" wrapText="1"/>
      <protection locked="0"/>
    </xf>
    <xf numFmtId="0" fontId="25" fillId="24" borderId="21" xfId="0" applyNumberFormat="1" applyFont="1" applyFill="1" applyBorder="1" applyAlignment="1" applyProtection="1">
      <alignment horizontal="center" vertical="center"/>
      <protection locked="0"/>
    </xf>
    <xf numFmtId="172" fontId="25" fillId="0" borderId="7" xfId="66" applyNumberFormat="1" applyFont="1" applyBorder="1" applyAlignment="1"/>
    <xf numFmtId="165" fontId="71" fillId="0" borderId="0" xfId="0" applyFont="1" applyAlignment="1"/>
    <xf numFmtId="172" fontId="25" fillId="0" borderId="7" xfId="66" applyNumberFormat="1" applyFont="1" applyBorder="1" applyAlignment="1">
      <alignment horizontal="right"/>
    </xf>
    <xf numFmtId="0" fontId="25" fillId="24" borderId="21" xfId="63" applyNumberFormat="1" applyFill="1" applyBorder="1" applyAlignment="1" applyProtection="1">
      <alignment horizontal="center" vertical="center"/>
      <protection locked="0"/>
    </xf>
    <xf numFmtId="0" fontId="25" fillId="24" borderId="21" xfId="63" applyNumberFormat="1" applyFill="1" applyBorder="1" applyAlignment="1" applyProtection="1">
      <protection locked="0"/>
    </xf>
    <xf numFmtId="0" fontId="25" fillId="24" borderId="14" xfId="63" applyNumberFormat="1" applyFill="1" applyBorder="1" applyAlignment="1" applyProtection="1">
      <alignment vertical="center" wrapText="1"/>
      <protection locked="0"/>
    </xf>
    <xf numFmtId="0" fontId="25" fillId="24" borderId="14" xfId="63" applyNumberFormat="1" applyFill="1" applyBorder="1" applyAlignment="1" applyProtection="1">
      <alignment vertical="center"/>
      <protection locked="0"/>
    </xf>
    <xf numFmtId="0" fontId="16" fillId="14" borderId="17" xfId="63" applyNumberFormat="1" applyFont="1" applyFill="1" applyBorder="1" applyAlignment="1">
      <alignment horizontal="left" vertical="center"/>
    </xf>
    <xf numFmtId="0" fontId="16" fillId="19" borderId="17" xfId="63" applyNumberFormat="1" applyFont="1" applyFill="1" applyBorder="1" applyAlignment="1">
      <alignment horizontal="left" vertical="center"/>
    </xf>
    <xf numFmtId="0" fontId="16" fillId="14" borderId="17" xfId="271" applyNumberFormat="1" applyFont="1" applyFill="1" applyBorder="1" applyAlignment="1">
      <alignment horizontal="left" vertical="center"/>
    </xf>
    <xf numFmtId="0" fontId="67" fillId="14" borderId="51" xfId="271" applyNumberFormat="1" applyFont="1" applyFill="1" applyBorder="1" applyAlignment="1"/>
    <xf numFmtId="0" fontId="25" fillId="0" borderId="0" xfId="271" applyNumberFormat="1" applyAlignment="1"/>
    <xf numFmtId="0" fontId="27" fillId="0" borderId="0" xfId="271" applyNumberFormat="1" applyFont="1" applyAlignment="1"/>
    <xf numFmtId="0" fontId="57" fillId="13" borderId="16" xfId="271" applyNumberFormat="1" applyFont="1" applyFill="1" applyBorder="1" applyAlignment="1">
      <alignment horizontal="center" vertical="center" wrapText="1"/>
    </xf>
    <xf numFmtId="0" fontId="16" fillId="14" borderId="17" xfId="271" applyNumberFormat="1" applyFont="1" applyFill="1" applyBorder="1" applyAlignment="1">
      <alignment horizontal="center" vertical="center"/>
    </xf>
    <xf numFmtId="0" fontId="16" fillId="14" borderId="17" xfId="271" applyNumberFormat="1" applyFont="1" applyFill="1" applyBorder="1" applyAlignment="1"/>
    <xf numFmtId="171" fontId="16" fillId="14" borderId="17" xfId="271" applyNumberFormat="1" applyFont="1" applyFill="1" applyBorder="1" applyAlignment="1">
      <alignment horizontal="right" vertical="center"/>
    </xf>
    <xf numFmtId="171" fontId="16" fillId="14" borderId="17" xfId="271" applyNumberFormat="1" applyFont="1" applyFill="1" applyBorder="1" applyAlignment="1"/>
    <xf numFmtId="0" fontId="16" fillId="15" borderId="17" xfId="271" applyNumberFormat="1" applyFont="1" applyFill="1" applyBorder="1" applyAlignment="1">
      <alignment horizontal="center" vertical="center"/>
    </xf>
    <xf numFmtId="0" fontId="16" fillId="15" borderId="17" xfId="271" applyNumberFormat="1" applyFont="1" applyFill="1" applyBorder="1" applyAlignment="1"/>
    <xf numFmtId="171" fontId="16" fillId="15" borderId="17" xfId="271" applyNumberFormat="1" applyFont="1" applyFill="1" applyBorder="1" applyAlignment="1">
      <alignment horizontal="right" vertical="center"/>
    </xf>
    <xf numFmtId="0" fontId="16" fillId="15" borderId="17" xfId="271" applyNumberFormat="1" applyFont="1" applyFill="1" applyBorder="1" applyAlignment="1">
      <alignment horizontal="left" vertical="center"/>
    </xf>
    <xf numFmtId="171" fontId="16" fillId="15" borderId="17" xfId="271" applyNumberFormat="1" applyFont="1" applyFill="1" applyBorder="1" applyAlignment="1"/>
    <xf numFmtId="0" fontId="16" fillId="14" borderId="22" xfId="271" applyNumberFormat="1" applyFont="1" applyFill="1" applyBorder="1" applyAlignment="1">
      <alignment vertical="center"/>
    </xf>
    <xf numFmtId="169" fontId="16" fillId="14" borderId="17" xfId="271" applyNumberFormat="1" applyFont="1" applyFill="1" applyBorder="1" applyAlignment="1">
      <alignment vertical="center"/>
    </xf>
    <xf numFmtId="2" fontId="16" fillId="14" borderId="17" xfId="271" applyNumberFormat="1" applyFont="1" applyFill="1" applyBorder="1" applyAlignment="1">
      <alignment vertical="center"/>
    </xf>
    <xf numFmtId="0" fontId="57" fillId="13" borderId="16" xfId="271" applyNumberFormat="1" applyFont="1" applyFill="1" applyBorder="1" applyAlignment="1">
      <alignment horizontal="center" vertical="center"/>
    </xf>
    <xf numFmtId="0" fontId="16" fillId="14" borderId="17" xfId="271" applyNumberFormat="1" applyFont="1" applyFill="1" applyBorder="1" applyAlignment="1">
      <alignment horizontal="right" vertical="center"/>
    </xf>
    <xf numFmtId="170" fontId="16" fillId="14" borderId="17" xfId="271" applyNumberFormat="1" applyFont="1" applyFill="1" applyBorder="1" applyAlignment="1">
      <alignment horizontal="right" vertical="center"/>
    </xf>
    <xf numFmtId="0" fontId="16" fillId="19" borderId="17" xfId="271" applyNumberFormat="1" applyFont="1" applyFill="1" applyBorder="1" applyAlignment="1">
      <alignment horizontal="right" vertical="center"/>
    </xf>
    <xf numFmtId="170" fontId="16" fillId="19" borderId="17" xfId="271" applyNumberFormat="1" applyFont="1" applyFill="1" applyBorder="1" applyAlignment="1">
      <alignment horizontal="right" vertical="center"/>
    </xf>
    <xf numFmtId="0" fontId="16" fillId="19" borderId="17" xfId="271" applyNumberFormat="1" applyFont="1" applyFill="1" applyBorder="1" applyAlignment="1">
      <alignment horizontal="left" vertical="center"/>
    </xf>
    <xf numFmtId="0" fontId="24" fillId="0" borderId="0" xfId="271" applyNumberFormat="1" applyFont="1" applyAlignment="1">
      <alignment wrapText="1"/>
    </xf>
    <xf numFmtId="170" fontId="60" fillId="20" borderId="0" xfId="271" applyNumberFormat="1" applyFont="1" applyFill="1" applyAlignment="1">
      <alignment horizontal="right" vertical="center"/>
    </xf>
    <xf numFmtId="0" fontId="60" fillId="20" borderId="0" xfId="271" applyNumberFormat="1" applyFont="1" applyFill="1" applyAlignment="1">
      <alignment horizontal="right" vertical="center"/>
    </xf>
    <xf numFmtId="2" fontId="60" fillId="20" borderId="0" xfId="271" applyNumberFormat="1" applyFont="1" applyFill="1" applyAlignment="1">
      <alignment horizontal="right" vertical="center"/>
    </xf>
    <xf numFmtId="0" fontId="66" fillId="0" borderId="48" xfId="271" applyNumberFormat="1" applyFont="1" applyBorder="1" applyAlignment="1">
      <alignment horizontal="center" vertical="center"/>
    </xf>
    <xf numFmtId="0" fontId="10" fillId="0" borderId="25" xfId="754" applyBorder="1" applyAlignment="1">
      <alignment wrapText="1"/>
    </xf>
    <xf numFmtId="0" fontId="10" fillId="0" borderId="25" xfId="754" applyBorder="1"/>
    <xf numFmtId="0" fontId="67" fillId="0" borderId="25" xfId="271" applyNumberFormat="1" applyFont="1" applyBorder="1" applyAlignment="1"/>
    <xf numFmtId="0" fontId="16" fillId="14" borderId="22" xfId="271" applyNumberFormat="1" applyFont="1" applyFill="1" applyBorder="1" applyAlignment="1"/>
    <xf numFmtId="0" fontId="10" fillId="0" borderId="51" xfId="754" applyBorder="1" applyAlignment="1">
      <alignment wrapText="1"/>
    </xf>
    <xf numFmtId="0" fontId="16" fillId="15" borderId="22" xfId="271" applyNumberFormat="1" applyFont="1" applyFill="1" applyBorder="1" applyAlignment="1"/>
    <xf numFmtId="165" fontId="25" fillId="0" borderId="0" xfId="271" applyAlignment="1"/>
    <xf numFmtId="0" fontId="10" fillId="0" borderId="51" xfId="754" applyBorder="1"/>
    <xf numFmtId="0" fontId="16" fillId="15" borderId="22" xfId="271" applyNumberFormat="1" applyFont="1" applyFill="1" applyBorder="1" applyAlignment="1">
      <alignment horizontal="left"/>
    </xf>
    <xf numFmtId="0" fontId="10" fillId="0" borderId="0" xfId="754" applyAlignment="1">
      <alignment wrapText="1"/>
    </xf>
    <xf numFmtId="0" fontId="10" fillId="21" borderId="0" xfId="754" applyFill="1" applyAlignment="1">
      <alignment wrapText="1"/>
    </xf>
    <xf numFmtId="0" fontId="67" fillId="0" borderId="51" xfId="271" applyNumberFormat="1" applyFont="1" applyBorder="1" applyAlignment="1"/>
    <xf numFmtId="0" fontId="10" fillId="0" borderId="14" xfId="754" applyBorder="1"/>
    <xf numFmtId="0" fontId="10" fillId="21" borderId="14" xfId="754" applyFill="1" applyBorder="1"/>
    <xf numFmtId="0" fontId="10" fillId="15" borderId="14" xfId="754" applyFill="1" applyBorder="1" applyAlignment="1">
      <alignment wrapText="1"/>
    </xf>
    <xf numFmtId="0" fontId="10" fillId="14" borderId="14" xfId="754" applyFill="1" applyBorder="1"/>
    <xf numFmtId="0" fontId="10" fillId="0" borderId="0" xfId="754"/>
    <xf numFmtId="0" fontId="10" fillId="21" borderId="0" xfId="754" applyFill="1"/>
    <xf numFmtId="0" fontId="10" fillId="14" borderId="14" xfId="271" applyNumberFormat="1" applyFont="1" applyFill="1" applyBorder="1" applyAlignment="1"/>
    <xf numFmtId="0" fontId="25" fillId="0" borderId="14" xfId="271" applyNumberFormat="1" applyBorder="1" applyAlignment="1"/>
    <xf numFmtId="0" fontId="10" fillId="14" borderId="19" xfId="271" applyNumberFormat="1" applyFont="1" applyFill="1" applyBorder="1" applyAlignment="1"/>
    <xf numFmtId="170" fontId="24" fillId="0" borderId="32" xfId="2" applyNumberFormat="1" applyFont="1" applyBorder="1" applyAlignment="1" applyProtection="1">
      <alignment vertical="center" wrapText="1"/>
      <protection locked="0"/>
    </xf>
    <xf numFmtId="170" fontId="25" fillId="26" borderId="21" xfId="2" applyNumberFormat="1" applyFill="1" applyBorder="1" applyAlignment="1" applyProtection="1">
      <alignment horizontal="center" vertical="center" wrapText="1"/>
      <protection locked="0"/>
    </xf>
    <xf numFmtId="3" fontId="25" fillId="26" borderId="21" xfId="2" applyNumberFormat="1" applyFill="1" applyBorder="1" applyAlignment="1" applyProtection="1">
      <alignment horizontal="center" vertical="center" wrapText="1"/>
      <protection locked="0"/>
    </xf>
    <xf numFmtId="0" fontId="25" fillId="26" borderId="56" xfId="0" applyNumberFormat="1" applyFont="1" applyFill="1" applyBorder="1" applyAlignment="1" applyProtection="1">
      <alignment horizontal="right" vertical="center"/>
      <protection locked="0"/>
    </xf>
    <xf numFmtId="170" fontId="25" fillId="26" borderId="14" xfId="2" applyNumberFormat="1" applyFill="1" applyBorder="1" applyAlignment="1" applyProtection="1">
      <alignment horizontal="center" vertical="center" wrapText="1"/>
      <protection locked="0"/>
    </xf>
    <xf numFmtId="165" fontId="27" fillId="26" borderId="8" xfId="0" applyFont="1" applyFill="1" applyBorder="1" applyAlignment="1">
      <alignment horizontal="left" vertical="center" wrapText="1"/>
    </xf>
    <xf numFmtId="0" fontId="8" fillId="15" borderId="14" xfId="754" applyFont="1" applyFill="1" applyBorder="1" applyAlignment="1">
      <alignment wrapText="1"/>
    </xf>
    <xf numFmtId="170" fontId="25" fillId="17" borderId="30" xfId="2" applyNumberFormat="1" applyFill="1" applyBorder="1" applyAlignment="1">
      <alignment vertical="center" wrapText="1"/>
    </xf>
    <xf numFmtId="170" fontId="25" fillId="17" borderId="46" xfId="2" applyNumberFormat="1" applyFill="1" applyBorder="1" applyAlignment="1">
      <alignment vertical="center" wrapText="1"/>
    </xf>
    <xf numFmtId="0" fontId="0" fillId="0" borderId="61" xfId="0" applyNumberFormat="1" applyBorder="1" applyAlignment="1"/>
    <xf numFmtId="3" fontId="0" fillId="0" borderId="0" xfId="0" applyNumberFormat="1" applyAlignment="1"/>
    <xf numFmtId="170" fontId="25" fillId="26" borderId="30" xfId="2" applyNumberFormat="1" applyFill="1" applyBorder="1" applyAlignment="1" applyProtection="1">
      <alignment vertical="center" wrapText="1"/>
      <protection locked="0"/>
    </xf>
    <xf numFmtId="0" fontId="0" fillId="4" borderId="33" xfId="0" applyNumberFormat="1" applyFill="1" applyBorder="1" applyAlignment="1"/>
    <xf numFmtId="0" fontId="25" fillId="4" borderId="32" xfId="0" applyNumberFormat="1" applyFont="1" applyFill="1" applyBorder="1" applyAlignment="1"/>
    <xf numFmtId="0" fontId="78" fillId="0" borderId="0" xfId="204" applyFont="1"/>
    <xf numFmtId="0" fontId="78" fillId="0" borderId="0" xfId="204" applyFont="1" applyAlignment="1">
      <alignment wrapText="1"/>
    </xf>
    <xf numFmtId="0" fontId="80" fillId="0" borderId="0" xfId="204" applyFont="1"/>
    <xf numFmtId="0" fontId="80" fillId="0" borderId="0" xfId="204" applyFont="1" applyAlignment="1">
      <alignment wrapText="1"/>
    </xf>
    <xf numFmtId="0" fontId="81" fillId="0" borderId="0" xfId="204" applyFont="1"/>
    <xf numFmtId="0" fontId="81" fillId="0" borderId="0" xfId="204" applyFont="1" applyAlignment="1">
      <alignment wrapText="1"/>
    </xf>
    <xf numFmtId="44" fontId="82" fillId="0" borderId="52" xfId="204" applyNumberFormat="1" applyFont="1" applyBorder="1" applyAlignment="1">
      <alignment horizontal="right" vertical="center" wrapText="1"/>
    </xf>
    <xf numFmtId="9" fontId="82" fillId="18" borderId="0" xfId="204" applyNumberFormat="1" applyFont="1" applyFill="1" applyAlignment="1">
      <alignment horizontal="right" vertical="center" wrapText="1"/>
    </xf>
    <xf numFmtId="0" fontId="83" fillId="13" borderId="67" xfId="204" applyFont="1" applyFill="1" applyBorder="1" applyAlignment="1">
      <alignment horizontal="center"/>
    </xf>
    <xf numFmtId="0" fontId="83" fillId="13" borderId="68" xfId="204" applyFont="1" applyFill="1" applyBorder="1" applyAlignment="1">
      <alignment horizontal="center"/>
    </xf>
    <xf numFmtId="0" fontId="83" fillId="13" borderId="69" xfId="204" applyFont="1" applyFill="1" applyBorder="1" applyAlignment="1">
      <alignment horizontal="center"/>
    </xf>
    <xf numFmtId="0" fontId="83" fillId="13" borderId="70" xfId="204" applyFont="1" applyFill="1" applyBorder="1" applyAlignment="1">
      <alignment horizontal="center"/>
    </xf>
    <xf numFmtId="0" fontId="73" fillId="0" borderId="0" xfId="204"/>
    <xf numFmtId="1" fontId="79" fillId="0" borderId="7" xfId="204" applyNumberFormat="1" applyFont="1" applyBorder="1" applyAlignment="1">
      <alignment horizontal="center" vertical="center" wrapText="1"/>
    </xf>
    <xf numFmtId="9" fontId="79" fillId="0" borderId="7" xfId="204" applyNumberFormat="1" applyFont="1" applyBorder="1" applyAlignment="1">
      <alignment horizontal="center" vertical="center" wrapText="1"/>
    </xf>
    <xf numFmtId="174" fontId="79" fillId="0" borderId="7" xfId="756" applyNumberFormat="1" applyFont="1" applyFill="1" applyBorder="1" applyAlignment="1">
      <alignment horizontal="center" vertical="center" wrapText="1"/>
    </xf>
    <xf numFmtId="0" fontId="73" fillId="3" borderId="0" xfId="204" applyFill="1"/>
    <xf numFmtId="1" fontId="79" fillId="3" borderId="7" xfId="204" applyNumberFormat="1" applyFont="1" applyFill="1" applyBorder="1" applyAlignment="1">
      <alignment horizontal="center" vertical="center" wrapText="1"/>
    </xf>
    <xf numFmtId="9" fontId="79" fillId="3" borderId="7" xfId="204" applyNumberFormat="1" applyFont="1" applyFill="1" applyBorder="1" applyAlignment="1">
      <alignment horizontal="center" vertical="center" wrapText="1"/>
    </xf>
    <xf numFmtId="174" fontId="79" fillId="3" borderId="7" xfId="756" applyNumberFormat="1" applyFont="1" applyFill="1" applyBorder="1" applyAlignment="1">
      <alignment horizontal="center" vertical="center" wrapText="1"/>
    </xf>
    <xf numFmtId="1" fontId="84" fillId="0" borderId="7" xfId="204" applyNumberFormat="1" applyFont="1" applyBorder="1" applyAlignment="1">
      <alignment horizontal="center" vertical="center" wrapText="1"/>
    </xf>
    <xf numFmtId="9" fontId="84" fillId="0" borderId="7" xfId="204" applyNumberFormat="1" applyFont="1" applyBorder="1" applyAlignment="1">
      <alignment horizontal="center" vertical="center" wrapText="1"/>
    </xf>
    <xf numFmtId="174" fontId="84" fillId="0" borderId="7" xfId="756" applyNumberFormat="1" applyFont="1" applyFill="1" applyBorder="1" applyAlignment="1">
      <alignment horizontal="center" vertical="center" wrapText="1"/>
    </xf>
    <xf numFmtId="0" fontId="73" fillId="0" borderId="0" xfId="204" applyAlignment="1">
      <alignment wrapText="1"/>
    </xf>
    <xf numFmtId="1" fontId="84" fillId="0" borderId="0" xfId="204" applyNumberFormat="1" applyFont="1" applyAlignment="1">
      <alignment horizontal="center" vertical="center" wrapText="1"/>
    </xf>
    <xf numFmtId="0" fontId="85" fillId="0" borderId="0" xfId="204" applyFont="1"/>
    <xf numFmtId="0" fontId="85" fillId="0" borderId="0" xfId="204" applyFont="1" applyAlignment="1">
      <alignment wrapText="1"/>
    </xf>
    <xf numFmtId="174" fontId="85" fillId="28" borderId="27" xfId="756" applyNumberFormat="1" applyFont="1" applyFill="1" applyBorder="1" applyAlignment="1">
      <alignment wrapText="1"/>
    </xf>
    <xf numFmtId="0" fontId="62" fillId="0" borderId="73" xfId="204" applyFont="1" applyBorder="1" applyAlignment="1">
      <alignment wrapText="1"/>
    </xf>
    <xf numFmtId="0" fontId="86" fillId="0" borderId="75" xfId="204" applyFont="1" applyBorder="1" applyAlignment="1">
      <alignment horizontal="center"/>
    </xf>
    <xf numFmtId="0" fontId="86" fillId="0" borderId="76" xfId="204" applyFont="1" applyBorder="1" applyAlignment="1">
      <alignment horizontal="center"/>
    </xf>
    <xf numFmtId="0" fontId="86" fillId="0" borderId="77" xfId="204" applyFont="1" applyBorder="1" applyAlignment="1">
      <alignment horizontal="center"/>
    </xf>
    <xf numFmtId="0" fontId="86" fillId="0" borderId="78" xfId="204" applyFont="1" applyBorder="1" applyAlignment="1">
      <alignment horizontal="center"/>
    </xf>
    <xf numFmtId="0" fontId="0" fillId="29" borderId="8" xfId="756" applyNumberFormat="1" applyFont="1" applyFill="1" applyBorder="1" applyAlignment="1">
      <alignment horizontal="center"/>
    </xf>
    <xf numFmtId="0" fontId="86" fillId="29" borderId="8" xfId="204" applyFont="1" applyFill="1" applyBorder="1" applyAlignment="1">
      <alignment horizontal="center"/>
    </xf>
    <xf numFmtId="0" fontId="86" fillId="29" borderId="38" xfId="204" applyFont="1" applyFill="1" applyBorder="1" applyAlignment="1">
      <alignment horizontal="center" wrapText="1"/>
    </xf>
    <xf numFmtId="0" fontId="62" fillId="0" borderId="54" xfId="204" applyFont="1" applyBorder="1" applyAlignment="1">
      <alignment wrapText="1"/>
    </xf>
    <xf numFmtId="0" fontId="62" fillId="0" borderId="0" xfId="204" applyFont="1" applyAlignment="1">
      <alignment wrapText="1"/>
    </xf>
    <xf numFmtId="0" fontId="62" fillId="0" borderId="81" xfId="204" applyFont="1" applyBorder="1" applyAlignment="1">
      <alignment wrapText="1"/>
    </xf>
    <xf numFmtId="0" fontId="62" fillId="0" borderId="82" xfId="204" applyFont="1" applyBorder="1" applyAlignment="1">
      <alignment wrapText="1"/>
    </xf>
    <xf numFmtId="0" fontId="62" fillId="0" borderId="43" xfId="204" applyFont="1" applyBorder="1" applyAlignment="1">
      <alignment wrapText="1"/>
    </xf>
    <xf numFmtId="0" fontId="0" fillId="0" borderId="77" xfId="756" applyNumberFormat="1" applyFont="1" applyFill="1" applyBorder="1" applyAlignment="1">
      <alignment horizontal="center" wrapText="1"/>
    </xf>
    <xf numFmtId="0" fontId="0" fillId="0" borderId="78" xfId="756" applyNumberFormat="1" applyFont="1" applyFill="1" applyBorder="1" applyAlignment="1">
      <alignment horizontal="center" wrapText="1"/>
    </xf>
    <xf numFmtId="0" fontId="73" fillId="0" borderId="83" xfId="204" applyBorder="1" applyAlignment="1">
      <alignment wrapText="1"/>
    </xf>
    <xf numFmtId="0" fontId="62" fillId="0" borderId="35" xfId="756" applyNumberFormat="1" applyFont="1" applyFill="1" applyBorder="1" applyAlignment="1">
      <alignment horizontal="center" wrapText="1"/>
    </xf>
    <xf numFmtId="0" fontId="0" fillId="0" borderId="47" xfId="756" applyNumberFormat="1" applyFont="1" applyFill="1" applyBorder="1" applyAlignment="1">
      <alignment horizontal="center" wrapText="1"/>
    </xf>
    <xf numFmtId="0" fontId="0" fillId="0" borderId="35" xfId="756" applyNumberFormat="1" applyFont="1" applyFill="1" applyBorder="1" applyAlignment="1">
      <alignment horizontal="center" wrapText="1"/>
    </xf>
    <xf numFmtId="0" fontId="0" fillId="0" borderId="35" xfId="756" applyNumberFormat="1" applyFont="1" applyFill="1" applyBorder="1" applyAlignment="1">
      <alignment horizontal="center"/>
    </xf>
    <xf numFmtId="0" fontId="0" fillId="0" borderId="36" xfId="756" applyNumberFormat="1" applyFont="1" applyFill="1" applyBorder="1" applyAlignment="1">
      <alignment horizontal="center"/>
    </xf>
    <xf numFmtId="0" fontId="0" fillId="0" borderId="7" xfId="756" applyNumberFormat="1" applyFont="1" applyFill="1" applyBorder="1" applyAlignment="1">
      <alignment horizontal="center"/>
    </xf>
    <xf numFmtId="0" fontId="0" fillId="0" borderId="8" xfId="756" applyNumberFormat="1" applyFont="1" applyFill="1" applyBorder="1" applyAlignment="1">
      <alignment horizontal="center"/>
    </xf>
    <xf numFmtId="0" fontId="73" fillId="0" borderId="38" xfId="204" applyBorder="1" applyAlignment="1">
      <alignment horizontal="center"/>
    </xf>
    <xf numFmtId="0" fontId="73" fillId="0" borderId="7" xfId="204" applyBorder="1" applyAlignment="1">
      <alignment wrapText="1"/>
    </xf>
    <xf numFmtId="0" fontId="73" fillId="0" borderId="8" xfId="204" applyBorder="1" applyAlignment="1">
      <alignment wrapText="1"/>
    </xf>
    <xf numFmtId="0" fontId="73" fillId="0" borderId="80" xfId="204" applyBorder="1" applyAlignment="1">
      <alignment wrapText="1"/>
    </xf>
    <xf numFmtId="0" fontId="73" fillId="0" borderId="38" xfId="204" applyBorder="1" applyAlignment="1">
      <alignment horizontal="center" wrapText="1"/>
    </xf>
    <xf numFmtId="0" fontId="73" fillId="0" borderId="64" xfId="204" applyBorder="1" applyAlignment="1">
      <alignment wrapText="1"/>
    </xf>
    <xf numFmtId="0" fontId="0" fillId="0" borderId="39" xfId="756" applyNumberFormat="1" applyFont="1" applyFill="1" applyBorder="1" applyAlignment="1">
      <alignment horizontal="center"/>
    </xf>
    <xf numFmtId="0" fontId="73" fillId="0" borderId="41" xfId="204" applyBorder="1" applyAlignment="1">
      <alignment horizontal="center"/>
    </xf>
    <xf numFmtId="0" fontId="73" fillId="0" borderId="84" xfId="204" applyBorder="1" applyAlignment="1">
      <alignment wrapText="1"/>
    </xf>
    <xf numFmtId="0" fontId="7" fillId="0" borderId="35" xfId="756" applyNumberFormat="1" applyFont="1" applyFill="1" applyBorder="1" applyAlignment="1">
      <alignment horizontal="center"/>
    </xf>
    <xf numFmtId="0" fontId="7" fillId="0" borderId="35" xfId="756" applyNumberFormat="1" applyFont="1" applyFill="1" applyBorder="1" applyAlignment="1">
      <alignment horizontal="center" wrapText="1"/>
    </xf>
    <xf numFmtId="0" fontId="73" fillId="0" borderId="36" xfId="204" applyBorder="1" applyAlignment="1">
      <alignment horizontal="center"/>
    </xf>
    <xf numFmtId="0" fontId="73" fillId="0" borderId="1" xfId="204" applyBorder="1" applyAlignment="1">
      <alignment wrapText="1"/>
    </xf>
    <xf numFmtId="0" fontId="7" fillId="0" borderId="7" xfId="756" applyNumberFormat="1" applyFont="1" applyFill="1" applyBorder="1" applyAlignment="1">
      <alignment horizontal="center"/>
    </xf>
    <xf numFmtId="0" fontId="7" fillId="0" borderId="7" xfId="756" applyNumberFormat="1" applyFont="1" applyFill="1" applyBorder="1" applyAlignment="1">
      <alignment horizontal="center" wrapText="1"/>
    </xf>
    <xf numFmtId="0" fontId="7" fillId="0" borderId="38" xfId="756" applyNumberFormat="1" applyFont="1" applyFill="1" applyBorder="1" applyAlignment="1">
      <alignment horizontal="center"/>
    </xf>
    <xf numFmtId="0" fontId="62" fillId="0" borderId="7" xfId="756" applyNumberFormat="1" applyFont="1" applyFill="1" applyBorder="1" applyAlignment="1">
      <alignment horizontal="center" wrapText="1"/>
    </xf>
    <xf numFmtId="0" fontId="7" fillId="0" borderId="8" xfId="756" applyNumberFormat="1" applyFont="1" applyFill="1" applyBorder="1" applyAlignment="1">
      <alignment horizontal="center"/>
    </xf>
    <xf numFmtId="0" fontId="7" fillId="0" borderId="38" xfId="756" applyNumberFormat="1" applyFont="1" applyFill="1" applyBorder="1" applyAlignment="1">
      <alignment horizontal="center" wrapText="1"/>
    </xf>
    <xf numFmtId="0" fontId="73" fillId="0" borderId="86" xfId="204" applyBorder="1" applyAlignment="1">
      <alignment wrapText="1"/>
    </xf>
    <xf numFmtId="0" fontId="0" fillId="0" borderId="27" xfId="756" applyNumberFormat="1" applyFont="1" applyFill="1" applyBorder="1" applyAlignment="1">
      <alignment horizontal="center"/>
    </xf>
    <xf numFmtId="0" fontId="7" fillId="0" borderId="27" xfId="756" applyNumberFormat="1" applyFont="1" applyFill="1" applyBorder="1" applyAlignment="1">
      <alignment horizontal="center"/>
    </xf>
    <xf numFmtId="0" fontId="7" fillId="0" borderId="27" xfId="756" applyNumberFormat="1" applyFont="1" applyFill="1" applyBorder="1" applyAlignment="1">
      <alignment horizontal="center" wrapText="1"/>
    </xf>
    <xf numFmtId="0" fontId="73" fillId="0" borderId="87" xfId="204" applyBorder="1" applyAlignment="1">
      <alignment horizontal="center"/>
    </xf>
    <xf numFmtId="0" fontId="73" fillId="0" borderId="34" xfId="204" applyBorder="1" applyAlignment="1">
      <alignment wrapText="1"/>
    </xf>
    <xf numFmtId="0" fontId="73" fillId="0" borderId="35" xfId="204" applyBorder="1" applyAlignment="1">
      <alignment horizontal="center"/>
    </xf>
    <xf numFmtId="0" fontId="73" fillId="0" borderId="35" xfId="204" applyBorder="1" applyAlignment="1">
      <alignment horizontal="center" wrapText="1"/>
    </xf>
    <xf numFmtId="0" fontId="73" fillId="0" borderId="36" xfId="204" applyBorder="1" applyAlignment="1">
      <alignment horizontal="center" wrapText="1"/>
    </xf>
    <xf numFmtId="0" fontId="73" fillId="0" borderId="40" xfId="204" applyBorder="1" applyAlignment="1">
      <alignment wrapText="1"/>
    </xf>
    <xf numFmtId="0" fontId="73" fillId="0" borderId="39" xfId="204" applyBorder="1" applyAlignment="1">
      <alignment horizontal="center"/>
    </xf>
    <xf numFmtId="0" fontId="73" fillId="0" borderId="39" xfId="204" applyBorder="1" applyAlignment="1">
      <alignment horizontal="center" wrapText="1"/>
    </xf>
    <xf numFmtId="0" fontId="73" fillId="0" borderId="41" xfId="204" applyBorder="1" applyAlignment="1">
      <alignment horizontal="center" wrapText="1"/>
    </xf>
    <xf numFmtId="0" fontId="62" fillId="0" borderId="0" xfId="204" applyFont="1"/>
    <xf numFmtId="1" fontId="73" fillId="0" borderId="0" xfId="204" applyNumberFormat="1" applyAlignment="1">
      <alignment wrapText="1"/>
    </xf>
    <xf numFmtId="1" fontId="73" fillId="0" borderId="0" xfId="204" applyNumberFormat="1"/>
    <xf numFmtId="9" fontId="0" fillId="0" borderId="0" xfId="757" applyFont="1"/>
    <xf numFmtId="1" fontId="77" fillId="13" borderId="88" xfId="204" applyNumberFormat="1" applyFont="1" applyFill="1" applyBorder="1" applyAlignment="1">
      <alignment horizontal="center"/>
    </xf>
    <xf numFmtId="1" fontId="77" fillId="13" borderId="89" xfId="204" applyNumberFormat="1" applyFont="1" applyFill="1" applyBorder="1" applyAlignment="1">
      <alignment horizontal="center"/>
    </xf>
    <xf numFmtId="0" fontId="77" fillId="13" borderId="89" xfId="204" applyFont="1" applyFill="1" applyBorder="1" applyAlignment="1">
      <alignment horizontal="center"/>
    </xf>
    <xf numFmtId="0" fontId="77" fillId="4" borderId="89" xfId="204" applyFont="1" applyFill="1" applyBorder="1" applyAlignment="1">
      <alignment horizontal="center"/>
    </xf>
    <xf numFmtId="0" fontId="77" fillId="4" borderId="90" xfId="204" applyFont="1" applyFill="1" applyBorder="1" applyAlignment="1">
      <alignment horizontal="center"/>
    </xf>
    <xf numFmtId="1" fontId="0" fillId="29" borderId="7" xfId="756" applyNumberFormat="1" applyFont="1" applyFill="1" applyBorder="1" applyAlignment="1">
      <alignment horizontal="center"/>
    </xf>
    <xf numFmtId="1" fontId="6" fillId="29" borderId="7" xfId="756" applyNumberFormat="1" applyFont="1" applyFill="1" applyBorder="1" applyAlignment="1">
      <alignment horizontal="center"/>
    </xf>
    <xf numFmtId="0" fontId="6" fillId="29" borderId="7" xfId="756" applyNumberFormat="1" applyFont="1" applyFill="1" applyBorder="1" applyAlignment="1">
      <alignment horizontal="center"/>
    </xf>
    <xf numFmtId="0" fontId="6" fillId="29" borderId="86" xfId="756" applyNumberFormat="1" applyFont="1" applyFill="1" applyBorder="1" applyAlignment="1">
      <alignment horizontal="center"/>
    </xf>
    <xf numFmtId="1" fontId="0" fillId="0" borderId="91" xfId="756" applyNumberFormat="1" applyFont="1" applyFill="1" applyBorder="1" applyAlignment="1">
      <alignment horizontal="center" wrapText="1"/>
    </xf>
    <xf numFmtId="0" fontId="0" fillId="0" borderId="91" xfId="756" applyNumberFormat="1" applyFont="1" applyFill="1" applyBorder="1" applyAlignment="1">
      <alignment horizontal="center" wrapText="1"/>
    </xf>
    <xf numFmtId="0" fontId="0" fillId="0" borderId="76" xfId="756" applyNumberFormat="1" applyFont="1" applyFill="1" applyBorder="1" applyAlignment="1">
      <alignment horizontal="center" wrapText="1"/>
    </xf>
    <xf numFmtId="0" fontId="62" fillId="0" borderId="47" xfId="756" applyNumberFormat="1" applyFont="1" applyFill="1" applyBorder="1" applyAlignment="1">
      <alignment horizontal="center" wrapText="1"/>
    </xf>
    <xf numFmtId="0" fontId="62" fillId="0" borderId="7" xfId="204" applyFont="1" applyBorder="1" applyAlignment="1">
      <alignment wrapText="1"/>
    </xf>
    <xf numFmtId="0" fontId="73" fillId="0" borderId="7" xfId="204" applyBorder="1"/>
    <xf numFmtId="0" fontId="25" fillId="24" borderId="14" xfId="63" applyNumberFormat="1" applyFill="1" applyBorder="1" applyAlignment="1" applyProtection="1">
      <alignment horizontal="center" vertical="center"/>
      <protection locked="0"/>
    </xf>
    <xf numFmtId="0" fontId="16" fillId="14" borderId="22" xfId="271" applyNumberFormat="1" applyFont="1" applyFill="1" applyBorder="1" applyAlignment="1">
      <alignment horizontal="left" vertical="center"/>
    </xf>
    <xf numFmtId="170" fontId="24" fillId="0" borderId="33" xfId="2" applyNumberFormat="1" applyFont="1" applyBorder="1" applyAlignment="1" applyProtection="1">
      <alignment vertical="center" wrapText="1"/>
      <protection locked="0"/>
    </xf>
    <xf numFmtId="4" fontId="69" fillId="17" borderId="35" xfId="0" applyNumberFormat="1" applyFont="1" applyFill="1" applyBorder="1" applyAlignment="1">
      <alignment horizontal="right" vertical="center"/>
    </xf>
    <xf numFmtId="4" fontId="27" fillId="17" borderId="7" xfId="0" applyNumberFormat="1" applyFont="1" applyFill="1" applyBorder="1" applyAlignment="1">
      <alignment horizontal="right" vertical="center"/>
    </xf>
    <xf numFmtId="4" fontId="16" fillId="4" borderId="7" xfId="64" applyNumberFormat="1" applyFont="1" applyFill="1" applyBorder="1" applyAlignment="1" applyProtection="1">
      <alignment horizontal="right" vertical="center"/>
      <protection locked="0"/>
    </xf>
    <xf numFmtId="4" fontId="66" fillId="17" borderId="35" xfId="0" applyNumberFormat="1" applyFont="1" applyFill="1" applyBorder="1" applyAlignment="1">
      <alignment horizontal="right" vertical="center"/>
    </xf>
    <xf numFmtId="4" fontId="66" fillId="17" borderId="29" xfId="0" applyNumberFormat="1" applyFont="1" applyFill="1" applyBorder="1" applyAlignment="1">
      <alignment horizontal="right" vertical="center"/>
    </xf>
    <xf numFmtId="4" fontId="69" fillId="17" borderId="29" xfId="0" applyNumberFormat="1" applyFont="1" applyFill="1" applyBorder="1" applyAlignment="1">
      <alignment horizontal="right" vertical="center"/>
    </xf>
    <xf numFmtId="4" fontId="69" fillId="17" borderId="7" xfId="0" applyNumberFormat="1" applyFont="1" applyFill="1" applyBorder="1" applyAlignment="1">
      <alignment horizontal="right" vertical="center"/>
    </xf>
    <xf numFmtId="4" fontId="69" fillId="17" borderId="39" xfId="0" applyNumberFormat="1" applyFont="1" applyFill="1" applyBorder="1" applyAlignment="1">
      <alignment horizontal="right" vertical="center"/>
    </xf>
    <xf numFmtId="4" fontId="27" fillId="18" borderId="7" xfId="0" applyNumberFormat="1" applyFont="1" applyFill="1" applyBorder="1" applyAlignment="1">
      <alignment horizontal="right" vertical="center"/>
    </xf>
    <xf numFmtId="4" fontId="69" fillId="18" borderId="7" xfId="0" applyNumberFormat="1" applyFont="1" applyFill="1" applyBorder="1" applyAlignment="1">
      <alignment horizontal="right" vertical="center"/>
    </xf>
    <xf numFmtId="4" fontId="69" fillId="18" borderId="39" xfId="0" applyNumberFormat="1" applyFont="1" applyFill="1" applyBorder="1" applyAlignment="1">
      <alignment horizontal="right" vertical="center"/>
    </xf>
    <xf numFmtId="4" fontId="69" fillId="18" borderId="35" xfId="0" applyNumberFormat="1" applyFont="1" applyFill="1" applyBorder="1" applyAlignment="1">
      <alignment horizontal="right" vertical="center"/>
    </xf>
    <xf numFmtId="4" fontId="66" fillId="18" borderId="35" xfId="0" applyNumberFormat="1" applyFont="1" applyFill="1" applyBorder="1" applyAlignment="1">
      <alignment horizontal="right" vertical="center"/>
    </xf>
    <xf numFmtId="4" fontId="66" fillId="18" borderId="29" xfId="0" applyNumberFormat="1" applyFont="1" applyFill="1" applyBorder="1" applyAlignment="1">
      <alignment horizontal="right" vertical="center"/>
    </xf>
    <xf numFmtId="4" fontId="16" fillId="26" borderId="7" xfId="0" applyNumberFormat="1" applyFont="1" applyFill="1" applyBorder="1" applyAlignment="1">
      <alignment horizontal="right" vertical="center"/>
    </xf>
    <xf numFmtId="165" fontId="27" fillId="27" borderId="8" xfId="0" applyFont="1" applyFill="1" applyBorder="1" applyAlignment="1">
      <alignment horizontal="left" vertical="center"/>
    </xf>
    <xf numFmtId="4" fontId="16" fillId="27" borderId="7" xfId="0" applyNumberFormat="1" applyFont="1" applyFill="1" applyBorder="1" applyAlignment="1">
      <alignment horizontal="right" vertical="center"/>
    </xf>
    <xf numFmtId="170" fontId="63" fillId="27" borderId="28" xfId="2" applyNumberFormat="1" applyFont="1" applyFill="1" applyBorder="1" applyAlignment="1">
      <alignment horizontal="right" vertical="center"/>
    </xf>
    <xf numFmtId="170" fontId="63" fillId="27" borderId="19" xfId="2" applyNumberFormat="1" applyFont="1" applyFill="1" applyBorder="1" applyAlignment="1">
      <alignment horizontal="center" vertical="center"/>
    </xf>
    <xf numFmtId="0" fontId="0" fillId="27" borderId="0" xfId="0" applyNumberFormat="1" applyFill="1" applyAlignment="1"/>
    <xf numFmtId="0" fontId="0" fillId="27" borderId="61" xfId="0" applyNumberFormat="1" applyFill="1" applyBorder="1" applyAlignment="1"/>
    <xf numFmtId="170" fontId="63" fillId="3" borderId="6" xfId="2" applyNumberFormat="1" applyFont="1" applyFill="1" applyBorder="1" applyAlignment="1">
      <alignment vertical="center"/>
    </xf>
    <xf numFmtId="170" fontId="63" fillId="3" borderId="50" xfId="2" applyNumberFormat="1" applyFont="1" applyFill="1" applyBorder="1" applyAlignment="1">
      <alignment vertical="center"/>
    </xf>
    <xf numFmtId="0" fontId="25" fillId="30" borderId="46" xfId="0" applyNumberFormat="1" applyFont="1" applyFill="1" applyBorder="1" applyAlignment="1"/>
    <xf numFmtId="170" fontId="25" fillId="30" borderId="10" xfId="2" applyNumberFormat="1" applyFill="1" applyBorder="1" applyAlignment="1" applyProtection="1">
      <alignment vertical="center" wrapText="1"/>
      <protection locked="0"/>
    </xf>
    <xf numFmtId="170" fontId="61" fillId="30" borderId="10" xfId="2" applyNumberFormat="1" applyFont="1" applyFill="1" applyBorder="1" applyAlignment="1" applyProtection="1">
      <alignment vertical="center" wrapText="1"/>
      <protection locked="0"/>
    </xf>
    <xf numFmtId="0" fontId="25" fillId="30" borderId="30" xfId="0" applyNumberFormat="1" applyFont="1" applyFill="1" applyBorder="1" applyAlignment="1"/>
    <xf numFmtId="170" fontId="25" fillId="30" borderId="14" xfId="2" applyNumberFormat="1" applyFill="1" applyBorder="1" applyAlignment="1" applyProtection="1">
      <alignment vertical="center" wrapText="1"/>
      <protection locked="0"/>
    </xf>
    <xf numFmtId="170" fontId="61" fillId="30" borderId="14" xfId="2" applyNumberFormat="1" applyFont="1" applyFill="1" applyBorder="1" applyAlignment="1" applyProtection="1">
      <alignment vertical="center" wrapText="1"/>
      <protection locked="0"/>
    </xf>
    <xf numFmtId="170" fontId="63" fillId="30" borderId="50" xfId="2" applyNumberFormat="1" applyFont="1" applyFill="1" applyBorder="1" applyAlignment="1">
      <alignment vertical="center"/>
    </xf>
    <xf numFmtId="170" fontId="63" fillId="26" borderId="53" xfId="2" applyNumberFormat="1" applyFont="1" applyFill="1" applyBorder="1" applyAlignment="1">
      <alignment horizontal="right" vertical="center"/>
    </xf>
    <xf numFmtId="170" fontId="63" fillId="26" borderId="59" xfId="2" applyNumberFormat="1" applyFont="1" applyFill="1" applyBorder="1" applyAlignment="1">
      <alignment horizontal="center" vertical="center"/>
    </xf>
    <xf numFmtId="0" fontId="0" fillId="26" borderId="3" xfId="0" applyNumberFormat="1" applyFill="1" applyBorder="1" applyAlignment="1"/>
    <xf numFmtId="0" fontId="0" fillId="26" borderId="60" xfId="0" applyNumberFormat="1" applyFill="1" applyBorder="1" applyAlignment="1"/>
    <xf numFmtId="0" fontId="25" fillId="27" borderId="93" xfId="0" applyNumberFormat="1" applyFont="1" applyFill="1" applyBorder="1" applyAlignment="1">
      <alignment horizontal="center" wrapText="1"/>
    </xf>
    <xf numFmtId="44" fontId="25" fillId="4" borderId="94" xfId="66" applyFont="1" applyFill="1" applyBorder="1" applyAlignment="1" applyProtection="1">
      <alignment horizontal="right" vertical="center" wrapText="1"/>
      <protection locked="0"/>
    </xf>
    <xf numFmtId="170" fontId="63" fillId="27" borderId="95" xfId="2" applyNumberFormat="1" applyFont="1" applyFill="1" applyBorder="1" applyAlignment="1">
      <alignment horizontal="center" vertical="center"/>
    </xf>
    <xf numFmtId="170" fontId="63" fillId="22" borderId="62" xfId="0" applyNumberFormat="1" applyFont="1" applyFill="1" applyBorder="1" applyAlignment="1">
      <alignment horizontal="center"/>
    </xf>
    <xf numFmtId="4" fontId="25" fillId="17" borderId="21" xfId="2" applyNumberFormat="1" applyFill="1" applyBorder="1" applyAlignment="1">
      <alignment horizontal="right" vertical="center" wrapText="1"/>
    </xf>
    <xf numFmtId="0" fontId="63" fillId="28" borderId="6" xfId="2" applyNumberFormat="1" applyFont="1" applyFill="1" applyBorder="1" applyAlignment="1">
      <alignment horizontal="right" vertical="center"/>
    </xf>
    <xf numFmtId="0" fontId="87" fillId="28" borderId="6" xfId="2" applyNumberFormat="1" applyFont="1" applyFill="1" applyBorder="1" applyAlignment="1">
      <alignment horizontal="left" vertical="center"/>
    </xf>
    <xf numFmtId="0" fontId="31" fillId="28" borderId="33" xfId="2" applyNumberFormat="1" applyFont="1" applyFill="1" applyBorder="1" applyAlignment="1">
      <alignment vertical="center"/>
    </xf>
    <xf numFmtId="170" fontId="63" fillId="28" borderId="98" xfId="2" applyNumberFormat="1" applyFont="1" applyFill="1" applyBorder="1" applyAlignment="1">
      <alignment horizontal="center" vertical="center"/>
    </xf>
    <xf numFmtId="170" fontId="63" fillId="27" borderId="62" xfId="0" applyNumberFormat="1" applyFont="1" applyFill="1" applyBorder="1" applyAlignment="1">
      <alignment horizontal="center"/>
    </xf>
    <xf numFmtId="10" fontId="60" fillId="24" borderId="38" xfId="0" applyNumberFormat="1" applyFont="1" applyFill="1" applyBorder="1" applyAlignment="1" applyProtection="1">
      <alignment horizontal="center" vertical="center"/>
      <protection locked="0"/>
    </xf>
    <xf numFmtId="10" fontId="60" fillId="24" borderId="41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NumberFormat="1" applyFont="1" applyAlignment="1">
      <alignment vertical="center"/>
    </xf>
    <xf numFmtId="173" fontId="66" fillId="0" borderId="0" xfId="0" applyNumberFormat="1" applyFont="1" applyAlignment="1">
      <alignment vertical="center"/>
    </xf>
    <xf numFmtId="165" fontId="66" fillId="0" borderId="0" xfId="0" applyFont="1" applyAlignment="1">
      <alignment vertical="center"/>
    </xf>
    <xf numFmtId="170" fontId="69" fillId="0" borderId="40" xfId="0" applyNumberFormat="1" applyFont="1" applyBorder="1" applyAlignment="1">
      <alignment horizontal="center" vertical="center"/>
    </xf>
    <xf numFmtId="165" fontId="0" fillId="27" borderId="7" xfId="0" applyFill="1" applyBorder="1" applyAlignment="1"/>
    <xf numFmtId="170" fontId="69" fillId="0" borderId="34" xfId="0" applyNumberFormat="1" applyFont="1" applyBorder="1" applyAlignment="1">
      <alignment horizontal="center" vertical="center"/>
    </xf>
    <xf numFmtId="9" fontId="0" fillId="0" borderId="0" xfId="60" applyFont="1" applyAlignment="1"/>
    <xf numFmtId="9" fontId="25" fillId="0" borderId="36" xfId="60" applyFont="1" applyBorder="1" applyAlignment="1">
      <alignment horizontal="center"/>
    </xf>
    <xf numFmtId="10" fontId="25" fillId="24" borderId="38" xfId="60" applyNumberFormat="1" applyFont="1" applyFill="1" applyBorder="1" applyAlignment="1" applyProtection="1">
      <alignment horizontal="center" vertical="center"/>
      <protection locked="0"/>
    </xf>
    <xf numFmtId="9" fontId="0" fillId="0" borderId="0" xfId="60" applyFont="1" applyAlignment="1">
      <alignment horizontal="center"/>
    </xf>
    <xf numFmtId="10" fontId="25" fillId="24" borderId="41" xfId="60" applyNumberFormat="1" applyFont="1" applyFill="1" applyBorder="1" applyAlignment="1" applyProtection="1">
      <alignment horizontal="center" vertical="center"/>
      <protection locked="0"/>
    </xf>
    <xf numFmtId="170" fontId="16" fillId="0" borderId="37" xfId="0" applyNumberFormat="1" applyFont="1" applyBorder="1" applyAlignment="1">
      <alignment horizontal="center" vertical="center"/>
    </xf>
    <xf numFmtId="165" fontId="88" fillId="31" borderId="101" xfId="0" applyFont="1" applyFill="1" applyBorder="1" applyAlignment="1">
      <alignment vertical="center" wrapText="1"/>
    </xf>
    <xf numFmtId="165" fontId="89" fillId="32" borderId="102" xfId="0" applyFont="1" applyFill="1" applyBorder="1" applyAlignment="1">
      <alignment vertical="center" wrapText="1"/>
    </xf>
    <xf numFmtId="165" fontId="88" fillId="31" borderId="103" xfId="0" applyFont="1" applyFill="1" applyBorder="1" applyAlignment="1">
      <alignment vertical="center" wrapText="1"/>
    </xf>
    <xf numFmtId="165" fontId="89" fillId="32" borderId="104" xfId="0" applyFont="1" applyFill="1" applyBorder="1" applyAlignment="1">
      <alignment vertical="center" wrapText="1"/>
    </xf>
    <xf numFmtId="165" fontId="88" fillId="31" borderId="105" xfId="0" applyFont="1" applyFill="1" applyBorder="1" applyAlignment="1">
      <alignment vertical="center" wrapText="1"/>
    </xf>
    <xf numFmtId="165" fontId="89" fillId="32" borderId="60" xfId="0" applyFont="1" applyFill="1" applyBorder="1" applyAlignment="1">
      <alignment vertical="center" wrapText="1"/>
    </xf>
    <xf numFmtId="4" fontId="27" fillId="17" borderId="1" xfId="0" applyNumberFormat="1" applyFont="1" applyFill="1" applyBorder="1" applyAlignment="1">
      <alignment horizontal="right" vertical="center"/>
    </xf>
    <xf numFmtId="4" fontId="66" fillId="17" borderId="84" xfId="0" applyNumberFormat="1" applyFont="1" applyFill="1" applyBorder="1" applyAlignment="1">
      <alignment horizontal="right" vertical="center"/>
    </xf>
    <xf numFmtId="4" fontId="69" fillId="17" borderId="92" xfId="0" applyNumberFormat="1" applyFont="1" applyFill="1" applyBorder="1" applyAlignment="1">
      <alignment horizontal="right" vertical="center"/>
    </xf>
    <xf numFmtId="4" fontId="69" fillId="17" borderId="1" xfId="0" applyNumberFormat="1" applyFont="1" applyFill="1" applyBorder="1" applyAlignment="1">
      <alignment horizontal="right" vertical="center"/>
    </xf>
    <xf numFmtId="4" fontId="69" fillId="17" borderId="106" xfId="0" applyNumberFormat="1" applyFont="1" applyFill="1" applyBorder="1" applyAlignment="1">
      <alignment horizontal="right" vertical="center"/>
    </xf>
    <xf numFmtId="4" fontId="66" fillId="17" borderId="47" xfId="0" applyNumberFormat="1" applyFont="1" applyFill="1" applyBorder="1" applyAlignment="1">
      <alignment horizontal="right" vertical="center"/>
    </xf>
    <xf numFmtId="4" fontId="69" fillId="17" borderId="43" xfId="0" applyNumberFormat="1" applyFont="1" applyFill="1" applyBorder="1" applyAlignment="1">
      <alignment horizontal="right" vertical="center"/>
    </xf>
    <xf numFmtId="4" fontId="69" fillId="17" borderId="8" xfId="0" applyNumberFormat="1" applyFont="1" applyFill="1" applyBorder="1" applyAlignment="1">
      <alignment horizontal="right" vertical="center"/>
    </xf>
    <xf numFmtId="4" fontId="69" fillId="17" borderId="64" xfId="0" applyNumberFormat="1" applyFont="1" applyFill="1" applyBorder="1" applyAlignment="1">
      <alignment horizontal="right" vertical="center"/>
    </xf>
    <xf numFmtId="170" fontId="69" fillId="0" borderId="106" xfId="0" applyNumberFormat="1" applyFont="1" applyBorder="1" applyAlignment="1">
      <alignment horizontal="center" vertical="center"/>
    </xf>
    <xf numFmtId="4" fontId="69" fillId="17" borderId="84" xfId="0" applyNumberFormat="1" applyFont="1" applyFill="1" applyBorder="1" applyAlignment="1">
      <alignment horizontal="right" vertical="center"/>
    </xf>
    <xf numFmtId="170" fontId="69" fillId="0" borderId="108" xfId="0" applyNumberFormat="1" applyFont="1" applyBorder="1" applyAlignment="1">
      <alignment horizontal="center" vertical="center"/>
    </xf>
    <xf numFmtId="4" fontId="69" fillId="18" borderId="99" xfId="0" applyNumberFormat="1" applyFont="1" applyFill="1" applyBorder="1" applyAlignment="1">
      <alignment horizontal="right" vertical="center"/>
    </xf>
    <xf numFmtId="10" fontId="66" fillId="17" borderId="36" xfId="60" applyNumberFormat="1" applyFont="1" applyFill="1" applyBorder="1" applyAlignment="1">
      <alignment horizontal="center" vertical="center"/>
    </xf>
    <xf numFmtId="10" fontId="66" fillId="17" borderId="36" xfId="60" applyNumberFormat="1" applyFont="1" applyFill="1" applyBorder="1" applyAlignment="1" applyProtection="1">
      <alignment horizontal="center" vertical="center"/>
    </xf>
    <xf numFmtId="4" fontId="69" fillId="18" borderId="37" xfId="0" applyNumberFormat="1" applyFont="1" applyFill="1" applyBorder="1" applyAlignment="1">
      <alignment horizontal="right" vertical="center"/>
    </xf>
    <xf numFmtId="10" fontId="69" fillId="17" borderId="38" xfId="60" applyNumberFormat="1" applyFont="1" applyFill="1" applyBorder="1" applyAlignment="1">
      <alignment horizontal="center" vertical="center"/>
    </xf>
    <xf numFmtId="4" fontId="69" fillId="18" borderId="40" xfId="0" applyNumberFormat="1" applyFont="1" applyFill="1" applyBorder="1" applyAlignment="1">
      <alignment horizontal="right" vertical="center"/>
    </xf>
    <xf numFmtId="10" fontId="69" fillId="17" borderId="41" xfId="60" applyNumberFormat="1" applyFont="1" applyFill="1" applyBorder="1" applyAlignment="1">
      <alignment horizontal="center" vertical="center"/>
    </xf>
    <xf numFmtId="165" fontId="0" fillId="30" borderId="7" xfId="0" applyFill="1" applyBorder="1" applyAlignment="1"/>
    <xf numFmtId="4" fontId="25" fillId="24" borderId="14" xfId="63" applyNumberFormat="1" applyFill="1" applyBorder="1" applyAlignment="1" applyProtection="1">
      <alignment horizontal="right" vertical="center"/>
      <protection locked="0"/>
    </xf>
    <xf numFmtId="170" fontId="16" fillId="0" borderId="40" xfId="0" applyNumberFormat="1" applyFont="1" applyBorder="1" applyAlignment="1">
      <alignment horizontal="center" vertical="center"/>
    </xf>
    <xf numFmtId="9" fontId="60" fillId="24" borderId="109" xfId="0" applyNumberFormat="1" applyFont="1" applyFill="1" applyBorder="1" applyAlignment="1" applyProtection="1">
      <alignment horizontal="center" vertical="center" wrapText="1"/>
      <protection locked="0"/>
    </xf>
    <xf numFmtId="165" fontId="27" fillId="17" borderId="80" xfId="0" applyFont="1" applyFill="1" applyBorder="1" applyAlignment="1">
      <alignment horizontal="left" vertical="center"/>
    </xf>
    <xf numFmtId="4" fontId="27" fillId="17" borderId="27" xfId="0" applyNumberFormat="1" applyFont="1" applyFill="1" applyBorder="1" applyAlignment="1">
      <alignment horizontal="right" vertical="center"/>
    </xf>
    <xf numFmtId="4" fontId="27" fillId="18" borderId="27" xfId="0" applyNumberFormat="1" applyFont="1" applyFill="1" applyBorder="1" applyAlignment="1">
      <alignment horizontal="right" vertical="center"/>
    </xf>
    <xf numFmtId="4" fontId="27" fillId="17" borderId="86" xfId="0" applyNumberFormat="1" applyFont="1" applyFill="1" applyBorder="1" applyAlignment="1">
      <alignment horizontal="right" vertical="center"/>
    </xf>
    <xf numFmtId="3" fontId="25" fillId="17" borderId="21" xfId="2" applyNumberFormat="1" applyFill="1" applyBorder="1" applyAlignment="1">
      <alignment horizontal="right" vertical="center" wrapText="1"/>
    </xf>
    <xf numFmtId="165" fontId="66" fillId="17" borderId="43" xfId="0" applyFont="1" applyFill="1" applyBorder="1" applyAlignment="1">
      <alignment horizontal="left" vertical="center" wrapText="1"/>
    </xf>
    <xf numFmtId="4" fontId="66" fillId="17" borderId="92" xfId="0" applyNumberFormat="1" applyFont="1" applyFill="1" applyBorder="1" applyAlignment="1">
      <alignment horizontal="right" vertical="center"/>
    </xf>
    <xf numFmtId="4" fontId="66" fillId="18" borderId="42" xfId="0" applyNumberFormat="1" applyFont="1" applyFill="1" applyBorder="1" applyAlignment="1">
      <alignment horizontal="right" vertical="center"/>
    </xf>
    <xf numFmtId="4" fontId="66" fillId="17" borderId="43" xfId="0" applyNumberFormat="1" applyFont="1" applyFill="1" applyBorder="1" applyAlignment="1">
      <alignment horizontal="right" vertical="center"/>
    </xf>
    <xf numFmtId="10" fontId="66" fillId="17" borderId="44" xfId="65" applyNumberFormat="1" applyFont="1" applyFill="1" applyBorder="1" applyAlignment="1">
      <alignment horizontal="center" vertical="center"/>
    </xf>
    <xf numFmtId="165" fontId="66" fillId="17" borderId="47" xfId="0" applyFont="1" applyFill="1" applyBorder="1" applyAlignment="1">
      <alignment horizontal="left" vertical="center" wrapText="1"/>
    </xf>
    <xf numFmtId="4" fontId="66" fillId="18" borderId="34" xfId="0" applyNumberFormat="1" applyFont="1" applyFill="1" applyBorder="1" applyAlignment="1">
      <alignment horizontal="right" vertical="center"/>
    </xf>
    <xf numFmtId="10" fontId="66" fillId="17" borderId="36" xfId="65" applyNumberFormat="1" applyFont="1" applyFill="1" applyBorder="1" applyAlignment="1">
      <alignment horizontal="center" vertical="center"/>
    </xf>
    <xf numFmtId="165" fontId="27" fillId="28" borderId="64" xfId="0" applyFont="1" applyFill="1" applyBorder="1" applyAlignment="1">
      <alignment horizontal="left" vertical="center" wrapText="1"/>
    </xf>
    <xf numFmtId="4" fontId="16" fillId="28" borderId="39" xfId="0" applyNumberFormat="1" applyFont="1" applyFill="1" applyBorder="1" applyAlignment="1">
      <alignment horizontal="right" vertical="center"/>
    </xf>
    <xf numFmtId="0" fontId="27" fillId="0" borderId="109" xfId="0" applyNumberFormat="1" applyFont="1" applyBorder="1" applyAlignment="1">
      <alignment vertical="center"/>
    </xf>
    <xf numFmtId="165" fontId="27" fillId="28" borderId="80" xfId="0" applyFont="1" applyFill="1" applyBorder="1" applyAlignment="1">
      <alignment horizontal="left" vertical="center" wrapText="1"/>
    </xf>
    <xf numFmtId="4" fontId="16" fillId="28" borderId="27" xfId="0" applyNumberFormat="1" applyFont="1" applyFill="1" applyBorder="1" applyAlignment="1">
      <alignment horizontal="right" vertical="center"/>
    </xf>
    <xf numFmtId="170" fontId="27" fillId="0" borderId="42" xfId="0" applyNumberFormat="1" applyFont="1" applyBorder="1" applyAlignment="1">
      <alignment vertical="center"/>
    </xf>
    <xf numFmtId="165" fontId="69" fillId="17" borderId="43" xfId="0" applyFont="1" applyFill="1" applyBorder="1" applyAlignment="1">
      <alignment horizontal="right" vertical="center"/>
    </xf>
    <xf numFmtId="4" fontId="69" fillId="18" borderId="29" xfId="0" applyNumberFormat="1" applyFont="1" applyFill="1" applyBorder="1" applyAlignment="1">
      <alignment horizontal="right" vertical="center"/>
    </xf>
    <xf numFmtId="4" fontId="69" fillId="18" borderId="42" xfId="0" applyNumberFormat="1" applyFont="1" applyFill="1" applyBorder="1" applyAlignment="1">
      <alignment horizontal="right" vertical="center"/>
    </xf>
    <xf numFmtId="10" fontId="69" fillId="17" borderId="44" xfId="60" applyNumberFormat="1" applyFont="1" applyFill="1" applyBorder="1" applyAlignment="1">
      <alignment horizontal="center" vertical="center"/>
    </xf>
    <xf numFmtId="10" fontId="69" fillId="17" borderId="87" xfId="65" applyNumberFormat="1" applyFont="1" applyFill="1" applyBorder="1" applyAlignment="1" applyProtection="1">
      <alignment horizontal="center" vertical="center"/>
      <protection locked="0"/>
    </xf>
    <xf numFmtId="0" fontId="25" fillId="24" borderId="21" xfId="0" applyNumberFormat="1" applyFont="1" applyFill="1" applyBorder="1" applyAlignment="1" applyProtection="1">
      <alignment horizontal="left"/>
      <protection locked="0"/>
    </xf>
    <xf numFmtId="170" fontId="25" fillId="24" borderId="10" xfId="2" applyNumberFormat="1" applyFill="1" applyBorder="1" applyAlignment="1" applyProtection="1">
      <alignment horizontal="right" vertical="center" wrapText="1"/>
      <protection locked="0"/>
    </xf>
    <xf numFmtId="170" fontId="25" fillId="24" borderId="14" xfId="2" applyNumberFormat="1" applyFill="1" applyBorder="1" applyAlignment="1" applyProtection="1">
      <alignment horizontal="right" vertical="center" wrapText="1"/>
      <protection locked="0"/>
    </xf>
    <xf numFmtId="0" fontId="63" fillId="28" borderId="32" xfId="2" applyNumberFormat="1" applyFont="1" applyFill="1" applyBorder="1" applyAlignment="1">
      <alignment horizontal="right" vertical="center"/>
    </xf>
    <xf numFmtId="170" fontId="63" fillId="28" borderId="32" xfId="2" applyNumberFormat="1" applyFont="1" applyFill="1" applyBorder="1" applyAlignment="1">
      <alignment horizontal="right" vertical="center"/>
    </xf>
    <xf numFmtId="170" fontId="63" fillId="28" borderId="6" xfId="2" applyNumberFormat="1" applyFont="1" applyFill="1" applyBorder="1" applyAlignment="1">
      <alignment horizontal="right" vertical="center"/>
    </xf>
    <xf numFmtId="170" fontId="63" fillId="28" borderId="65" xfId="2" applyNumberFormat="1" applyFont="1" applyFill="1" applyBorder="1" applyAlignment="1">
      <alignment horizontal="right" vertical="center"/>
    </xf>
    <xf numFmtId="0" fontId="63" fillId="27" borderId="32" xfId="2" applyNumberFormat="1" applyFont="1" applyFill="1" applyBorder="1" applyAlignment="1">
      <alignment horizontal="center" vertical="center"/>
    </xf>
    <xf numFmtId="0" fontId="63" fillId="27" borderId="33" xfId="2" applyNumberFormat="1" applyFont="1" applyFill="1" applyBorder="1" applyAlignment="1">
      <alignment horizontal="center" vertical="center"/>
    </xf>
    <xf numFmtId="170" fontId="63" fillId="27" borderId="58" xfId="2" applyNumberFormat="1" applyFont="1" applyFill="1" applyBorder="1" applyAlignment="1">
      <alignment horizontal="right" vertical="center"/>
    </xf>
    <xf numFmtId="0" fontId="63" fillId="26" borderId="32" xfId="2" applyNumberFormat="1" applyFont="1" applyFill="1" applyBorder="1" applyAlignment="1">
      <alignment horizontal="center" vertical="center"/>
    </xf>
    <xf numFmtId="0" fontId="63" fillId="26" borderId="6" xfId="2" applyNumberFormat="1" applyFont="1" applyFill="1" applyBorder="1" applyAlignment="1">
      <alignment horizontal="center" vertical="center"/>
    </xf>
    <xf numFmtId="0" fontId="63" fillId="26" borderId="33" xfId="2" applyNumberFormat="1" applyFont="1" applyFill="1" applyBorder="1" applyAlignment="1">
      <alignment horizontal="center" vertical="center"/>
    </xf>
    <xf numFmtId="170" fontId="63" fillId="22" borderId="58" xfId="2" applyNumberFormat="1" applyFont="1" applyFill="1" applyBorder="1" applyAlignment="1">
      <alignment horizontal="right" vertical="center"/>
    </xf>
    <xf numFmtId="170" fontId="63" fillId="22" borderId="50" xfId="2" applyNumberFormat="1" applyFont="1" applyFill="1" applyBorder="1" applyAlignment="1">
      <alignment horizontal="right" vertical="center"/>
    </xf>
    <xf numFmtId="170" fontId="63" fillId="3" borderId="28" xfId="2" applyNumberFormat="1" applyFont="1" applyFill="1" applyBorder="1" applyAlignment="1">
      <alignment horizontal="center" vertical="center"/>
    </xf>
    <xf numFmtId="170" fontId="0" fillId="0" borderId="7" xfId="0" applyNumberFormat="1" applyBorder="1" applyAlignment="1"/>
    <xf numFmtId="9" fontId="0" fillId="0" borderId="7" xfId="0" applyNumberFormat="1" applyBorder="1" applyAlignment="1"/>
    <xf numFmtId="165" fontId="24" fillId="3" borderId="31" xfId="0" applyFont="1" applyFill="1" applyBorder="1" applyAlignment="1">
      <alignment horizontal="center" vertical="center" wrapText="1"/>
    </xf>
    <xf numFmtId="9" fontId="0" fillId="17" borderId="111" xfId="0" applyNumberFormat="1" applyFill="1" applyBorder="1" applyAlignment="1">
      <alignment horizontal="center" vertical="center"/>
    </xf>
    <xf numFmtId="4" fontId="0" fillId="17" borderId="110" xfId="60" applyNumberFormat="1" applyFont="1" applyFill="1" applyBorder="1" applyAlignment="1" applyProtection="1">
      <alignment horizontal="right" vertical="center"/>
    </xf>
    <xf numFmtId="4" fontId="25" fillId="17" borderId="110" xfId="2" applyNumberFormat="1" applyFill="1" applyBorder="1" applyAlignment="1">
      <alignment horizontal="right" vertical="center" wrapText="1"/>
    </xf>
    <xf numFmtId="4" fontId="25" fillId="17" borderId="112" xfId="2" applyNumberFormat="1" applyFill="1" applyBorder="1" applyAlignment="1">
      <alignment horizontal="right" vertical="center" wrapText="1"/>
    </xf>
    <xf numFmtId="170" fontId="63" fillId="27" borderId="63" xfId="0" applyNumberFormat="1" applyFont="1" applyFill="1" applyBorder="1" applyAlignment="1">
      <alignment horizontal="center"/>
    </xf>
    <xf numFmtId="10" fontId="25" fillId="24" borderId="13" xfId="60" quotePrefix="1" applyNumberFormat="1" applyFont="1" applyFill="1" applyBorder="1" applyAlignment="1" applyProtection="1">
      <alignment horizontal="right" vertical="center"/>
      <protection locked="0"/>
    </xf>
    <xf numFmtId="170" fontId="63" fillId="22" borderId="63" xfId="0" applyNumberFormat="1" applyFont="1" applyFill="1" applyBorder="1" applyAlignment="1">
      <alignment horizontal="center"/>
    </xf>
    <xf numFmtId="170" fontId="63" fillId="3" borderId="35" xfId="2" applyNumberFormat="1" applyFont="1" applyFill="1" applyBorder="1" applyAlignment="1">
      <alignment horizontal="center" vertical="center"/>
    </xf>
    <xf numFmtId="170" fontId="63" fillId="3" borderId="36" xfId="2" applyNumberFormat="1" applyFont="1" applyFill="1" applyBorder="1" applyAlignment="1">
      <alignment horizontal="center" vertical="center"/>
    </xf>
    <xf numFmtId="170" fontId="0" fillId="0" borderId="38" xfId="0" applyNumberFormat="1" applyBorder="1" applyAlignment="1"/>
    <xf numFmtId="170" fontId="0" fillId="18" borderId="39" xfId="0" applyNumberFormat="1" applyFill="1" applyBorder="1" applyAlignment="1"/>
    <xf numFmtId="0" fontId="0" fillId="18" borderId="39" xfId="0" applyNumberFormat="1" applyFill="1" applyBorder="1" applyAlignment="1"/>
    <xf numFmtId="170" fontId="0" fillId="18" borderId="41" xfId="0" applyNumberFormat="1" applyFill="1" applyBorder="1" applyAlignment="1"/>
    <xf numFmtId="10" fontId="25" fillId="24" borderId="21" xfId="60" applyNumberFormat="1" applyFont="1" applyFill="1" applyBorder="1" applyAlignment="1">
      <alignment horizontal="right" vertical="center" wrapText="1"/>
    </xf>
    <xf numFmtId="170" fontId="63" fillId="28" borderId="33" xfId="2" applyNumberFormat="1" applyFont="1" applyFill="1" applyBorder="1" applyAlignment="1">
      <alignment horizontal="right" vertical="center"/>
    </xf>
    <xf numFmtId="4" fontId="25" fillId="24" borderId="21" xfId="2" applyNumberFormat="1" applyFill="1" applyBorder="1" applyAlignment="1">
      <alignment horizontal="right" vertical="center" wrapText="1"/>
    </xf>
    <xf numFmtId="0" fontId="0" fillId="17" borderId="21" xfId="0" applyNumberFormat="1" applyFill="1" applyBorder="1" applyAlignment="1"/>
    <xf numFmtId="4" fontId="25" fillId="17" borderId="21" xfId="2" applyNumberFormat="1" applyFill="1" applyBorder="1" applyAlignment="1">
      <alignment vertical="center" wrapText="1"/>
    </xf>
    <xf numFmtId="4" fontId="25" fillId="24" borderId="112" xfId="2" applyNumberFormat="1" applyFill="1" applyBorder="1" applyAlignment="1">
      <alignment horizontal="right" vertical="center" wrapText="1"/>
    </xf>
    <xf numFmtId="0" fontId="27" fillId="0" borderId="114" xfId="0" applyNumberFormat="1" applyFont="1" applyBorder="1" applyAlignment="1">
      <alignment vertical="center"/>
    </xf>
    <xf numFmtId="165" fontId="69" fillId="17" borderId="115" xfId="0" applyFont="1" applyFill="1" applyBorder="1" applyAlignment="1">
      <alignment horizontal="left" vertical="center"/>
    </xf>
    <xf numFmtId="4" fontId="66" fillId="17" borderId="116" xfId="0" applyNumberFormat="1" applyFont="1" applyFill="1" applyBorder="1" applyAlignment="1">
      <alignment horizontal="right" vertical="center"/>
    </xf>
    <xf numFmtId="4" fontId="66" fillId="18" borderId="116" xfId="0" applyNumberFormat="1" applyFont="1" applyFill="1" applyBorder="1" applyAlignment="1">
      <alignment horizontal="right" vertical="center"/>
    </xf>
    <xf numFmtId="4" fontId="69" fillId="17" borderId="117" xfId="0" applyNumberFormat="1" applyFont="1" applyFill="1" applyBorder="1" applyAlignment="1">
      <alignment horizontal="right" vertical="center"/>
    </xf>
    <xf numFmtId="4" fontId="69" fillId="17" borderId="115" xfId="0" applyNumberFormat="1" applyFont="1" applyFill="1" applyBorder="1" applyAlignment="1">
      <alignment horizontal="right" vertical="center"/>
    </xf>
    <xf numFmtId="10" fontId="66" fillId="17" borderId="118" xfId="60" applyNumberFormat="1" applyFont="1" applyFill="1" applyBorder="1" applyAlignment="1">
      <alignment horizontal="center" vertical="center"/>
    </xf>
    <xf numFmtId="170" fontId="0" fillId="33" borderId="7" xfId="0" applyNumberFormat="1" applyFill="1" applyBorder="1" applyAlignment="1"/>
    <xf numFmtId="0" fontId="90" fillId="28" borderId="6" xfId="2" applyNumberFormat="1" applyFont="1" applyFill="1" applyBorder="1" applyAlignment="1">
      <alignment horizontal="left" vertical="center"/>
    </xf>
    <xf numFmtId="0" fontId="25" fillId="0" borderId="7" xfId="0" applyNumberFormat="1" applyFont="1" applyBorder="1" applyAlignment="1">
      <alignment horizontal="right"/>
    </xf>
    <xf numFmtId="4" fontId="0" fillId="0" borderId="0" xfId="0" applyNumberFormat="1" applyAlignment="1"/>
    <xf numFmtId="170" fontId="25" fillId="0" borderId="0" xfId="2" applyNumberFormat="1" applyAlignment="1" applyProtection="1">
      <alignment horizontal="right" vertical="center" wrapText="1"/>
      <protection locked="0"/>
    </xf>
    <xf numFmtId="4" fontId="27" fillId="18" borderId="107" xfId="0" applyNumberFormat="1" applyFont="1" applyFill="1" applyBorder="1" applyAlignment="1">
      <alignment horizontal="right" vertical="center"/>
    </xf>
    <xf numFmtId="4" fontId="27" fillId="18" borderId="113" xfId="0" applyNumberFormat="1" applyFont="1" applyFill="1" applyBorder="1" applyAlignment="1">
      <alignment horizontal="right" vertical="center"/>
    </xf>
    <xf numFmtId="10" fontId="16" fillId="17" borderId="38" xfId="65" applyNumberFormat="1" applyFont="1" applyFill="1" applyBorder="1" applyAlignment="1" applyProtection="1">
      <alignment horizontal="center" vertical="center"/>
      <protection locked="0"/>
    </xf>
    <xf numFmtId="4" fontId="27" fillId="17" borderId="8" xfId="0" applyNumberFormat="1" applyFont="1" applyFill="1" applyBorder="1" applyAlignment="1">
      <alignment horizontal="right" vertical="center"/>
    </xf>
    <xf numFmtId="10" fontId="27" fillId="17" borderId="38" xfId="60" applyNumberFormat="1" applyFont="1" applyFill="1" applyBorder="1" applyAlignment="1">
      <alignment horizontal="center" vertical="center"/>
    </xf>
    <xf numFmtId="10" fontId="16" fillId="17" borderId="41" xfId="65" applyNumberFormat="1" applyFont="1" applyFill="1" applyBorder="1" applyAlignment="1" applyProtection="1">
      <alignment horizontal="center" vertical="center"/>
      <protection locked="0"/>
    </xf>
    <xf numFmtId="10" fontId="16" fillId="17" borderId="87" xfId="65" applyNumberFormat="1" applyFont="1" applyFill="1" applyBorder="1" applyAlignment="1" applyProtection="1">
      <alignment horizontal="center" vertical="center"/>
      <protection locked="0"/>
    </xf>
    <xf numFmtId="4" fontId="27" fillId="17" borderId="80" xfId="0" applyNumberFormat="1" applyFont="1" applyFill="1" applyBorder="1" applyAlignment="1">
      <alignment horizontal="right" vertical="center"/>
    </xf>
    <xf numFmtId="10" fontId="27" fillId="17" borderId="87" xfId="60" applyNumberFormat="1" applyFont="1" applyFill="1" applyBorder="1" applyAlignment="1">
      <alignment horizontal="center" vertical="center"/>
    </xf>
    <xf numFmtId="165" fontId="25" fillId="0" borderId="0" xfId="0" applyFont="1" applyAlignment="1"/>
    <xf numFmtId="4" fontId="25" fillId="0" borderId="0" xfId="0" applyNumberFormat="1" applyFont="1" applyAlignment="1"/>
    <xf numFmtId="4" fontId="24" fillId="0" borderId="0" xfId="0" applyNumberFormat="1" applyFont="1" applyAlignment="1"/>
    <xf numFmtId="4" fontId="60" fillId="3" borderId="37" xfId="0" applyNumberFormat="1" applyFont="1" applyFill="1" applyBorder="1" applyAlignment="1" applyProtection="1">
      <alignment horizontal="right" vertical="center"/>
      <protection locked="0"/>
    </xf>
    <xf numFmtId="4" fontId="60" fillId="3" borderId="40" xfId="0" applyNumberFormat="1" applyFont="1" applyFill="1" applyBorder="1" applyAlignment="1" applyProtection="1">
      <alignment horizontal="right" vertical="center"/>
      <protection locked="0"/>
    </xf>
    <xf numFmtId="4" fontId="25" fillId="0" borderId="0" xfId="2" applyNumberFormat="1" applyAlignment="1" applyProtection="1">
      <alignment horizontal="center" vertical="center" wrapText="1"/>
      <protection locked="0"/>
    </xf>
    <xf numFmtId="165" fontId="27" fillId="0" borderId="119" xfId="0" applyFont="1" applyBorder="1" applyAlignment="1">
      <alignment horizontal="right" vertical="center"/>
    </xf>
    <xf numFmtId="165" fontId="27" fillId="0" borderId="120" xfId="0" applyFont="1" applyBorder="1" applyAlignment="1">
      <alignment horizontal="right" vertical="center"/>
    </xf>
    <xf numFmtId="165" fontId="91" fillId="0" borderId="120" xfId="0" applyFont="1" applyBorder="1" applyAlignment="1">
      <alignment horizontal="right" vertical="center"/>
    </xf>
    <xf numFmtId="4" fontId="27" fillId="0" borderId="123" xfId="0" applyNumberFormat="1" applyFont="1" applyBorder="1" applyAlignment="1">
      <alignment vertical="center"/>
    </xf>
    <xf numFmtId="4" fontId="27" fillId="17" borderId="37" xfId="0" applyNumberFormat="1" applyFont="1" applyFill="1" applyBorder="1" applyAlignment="1">
      <alignment horizontal="right" vertical="center"/>
    </xf>
    <xf numFmtId="4" fontId="16" fillId="17" borderId="8" xfId="0" applyNumberFormat="1" applyFont="1" applyFill="1" applyBorder="1" applyAlignment="1">
      <alignment horizontal="right" vertical="center"/>
    </xf>
    <xf numFmtId="4" fontId="27" fillId="17" borderId="39" xfId="0" applyNumberFormat="1" applyFont="1" applyFill="1" applyBorder="1" applyAlignment="1">
      <alignment horizontal="right" vertical="center"/>
    </xf>
    <xf numFmtId="4" fontId="27" fillId="17" borderId="106" xfId="0" applyNumberFormat="1" applyFont="1" applyFill="1" applyBorder="1" applyAlignment="1">
      <alignment horizontal="right" vertical="center"/>
    </xf>
    <xf numFmtId="4" fontId="27" fillId="17" borderId="40" xfId="0" applyNumberFormat="1" applyFont="1" applyFill="1" applyBorder="1" applyAlignment="1">
      <alignment horizontal="right" vertical="center"/>
    </xf>
    <xf numFmtId="4" fontId="16" fillId="17" borderId="64" xfId="0" applyNumberFormat="1" applyFont="1" applyFill="1" applyBorder="1" applyAlignment="1">
      <alignment horizontal="right" vertical="center"/>
    </xf>
    <xf numFmtId="4" fontId="27" fillId="17" borderId="109" xfId="0" applyNumberFormat="1" applyFont="1" applyFill="1" applyBorder="1" applyAlignment="1">
      <alignment horizontal="right" vertical="center"/>
    </xf>
    <xf numFmtId="4" fontId="16" fillId="17" borderId="80" xfId="0" applyNumberFormat="1" applyFont="1" applyFill="1" applyBorder="1" applyAlignment="1">
      <alignment horizontal="right" vertical="center"/>
    </xf>
    <xf numFmtId="0" fontId="25" fillId="4" borderId="33" xfId="0" applyNumberFormat="1" applyFont="1" applyFill="1" applyBorder="1" applyAlignment="1"/>
    <xf numFmtId="165" fontId="89" fillId="0" borderId="0" xfId="0" applyFont="1" applyAlignment="1">
      <alignment vertical="center"/>
    </xf>
    <xf numFmtId="0" fontId="56" fillId="12" borderId="1" xfId="0" applyNumberFormat="1" applyFont="1" applyFill="1" applyBorder="1" applyAlignment="1">
      <alignment horizontal="center" vertical="center"/>
    </xf>
    <xf numFmtId="0" fontId="56" fillId="12" borderId="2" xfId="0" applyNumberFormat="1" applyFont="1" applyFill="1" applyBorder="1" applyAlignment="1">
      <alignment horizontal="center" vertical="center"/>
    </xf>
    <xf numFmtId="0" fontId="56" fillId="12" borderId="8" xfId="0" applyNumberFormat="1" applyFont="1" applyFill="1" applyBorder="1" applyAlignment="1">
      <alignment horizontal="center" vertical="center"/>
    </xf>
    <xf numFmtId="0" fontId="62" fillId="0" borderId="42" xfId="204" applyFont="1" applyBorder="1" applyAlignment="1">
      <alignment textRotation="90" wrapText="1"/>
    </xf>
    <xf numFmtId="0" fontId="62" fillId="0" borderId="40" xfId="204" applyFont="1" applyBorder="1" applyAlignment="1">
      <alignment textRotation="90" wrapText="1"/>
    </xf>
    <xf numFmtId="0" fontId="7" fillId="0" borderId="29" xfId="204" applyFont="1" applyBorder="1" applyAlignment="1">
      <alignment wrapText="1"/>
    </xf>
    <xf numFmtId="0" fontId="7" fillId="0" borderId="7" xfId="204" applyFont="1" applyBorder="1" applyAlignment="1">
      <alignment wrapText="1"/>
    </xf>
    <xf numFmtId="0" fontId="62" fillId="0" borderId="75" xfId="204" applyFont="1" applyBorder="1" applyAlignment="1">
      <alignment textRotation="90" wrapText="1"/>
    </xf>
    <xf numFmtId="0" fontId="62" fillId="0" borderId="85" xfId="204" applyFont="1" applyBorder="1" applyAlignment="1">
      <alignment textRotation="90" wrapText="1"/>
    </xf>
    <xf numFmtId="0" fontId="73" fillId="0" borderId="35" xfId="204" applyBorder="1" applyAlignment="1">
      <alignment wrapText="1"/>
    </xf>
    <xf numFmtId="0" fontId="73" fillId="0" borderId="7" xfId="204" applyBorder="1" applyAlignment="1">
      <alignment wrapText="1"/>
    </xf>
    <xf numFmtId="0" fontId="73" fillId="0" borderId="39" xfId="204" applyBorder="1" applyAlignment="1">
      <alignment wrapText="1"/>
    </xf>
    <xf numFmtId="0" fontId="62" fillId="0" borderId="11" xfId="204" applyFont="1" applyBorder="1" applyAlignment="1">
      <alignment wrapText="1"/>
    </xf>
    <xf numFmtId="0" fontId="62" fillId="0" borderId="79" xfId="204" applyFont="1" applyBorder="1" applyAlignment="1">
      <alignment wrapText="1"/>
    </xf>
    <xf numFmtId="0" fontId="62" fillId="0" borderId="80" xfId="204" applyFont="1" applyBorder="1" applyAlignment="1">
      <alignment wrapText="1"/>
    </xf>
    <xf numFmtId="0" fontId="62" fillId="0" borderId="0" xfId="204" applyFont="1" applyAlignment="1">
      <alignment wrapText="1"/>
    </xf>
    <xf numFmtId="0" fontId="62" fillId="0" borderId="71" xfId="204" applyFont="1" applyBorder="1" applyAlignment="1">
      <alignment wrapText="1"/>
    </xf>
    <xf numFmtId="0" fontId="62" fillId="0" borderId="37" xfId="204" applyFont="1" applyBorder="1" applyAlignment="1">
      <alignment textRotation="90" wrapText="1"/>
    </xf>
    <xf numFmtId="0" fontId="73" fillId="0" borderId="29" xfId="204" applyBorder="1" applyAlignment="1">
      <alignment wrapText="1"/>
    </xf>
    <xf numFmtId="0" fontId="85" fillId="28" borderId="0" xfId="204" applyFont="1" applyFill="1" applyAlignment="1">
      <alignment horizontal="right" wrapText="1"/>
    </xf>
    <xf numFmtId="0" fontId="85" fillId="28" borderId="71" xfId="204" applyFont="1" applyFill="1" applyBorder="1" applyAlignment="1">
      <alignment horizontal="right" wrapText="1"/>
    </xf>
    <xf numFmtId="0" fontId="62" fillId="0" borderId="72" xfId="204" applyFont="1" applyBorder="1" applyAlignment="1">
      <alignment wrapText="1"/>
    </xf>
    <xf numFmtId="0" fontId="62" fillId="0" borderId="73" xfId="204" applyFont="1" applyBorder="1" applyAlignment="1">
      <alignment wrapText="1"/>
    </xf>
    <xf numFmtId="0" fontId="62" fillId="0" borderId="74" xfId="204" applyFont="1" applyBorder="1" applyAlignment="1">
      <alignment wrapText="1"/>
    </xf>
    <xf numFmtId="0" fontId="79" fillId="0" borderId="0" xfId="204" applyFont="1" applyAlignment="1">
      <alignment horizontal="left" wrapText="1"/>
    </xf>
    <xf numFmtId="0" fontId="78" fillId="0" borderId="0" xfId="204" applyFont="1" applyAlignment="1">
      <alignment horizontal="left" wrapText="1"/>
    </xf>
    <xf numFmtId="0" fontId="80" fillId="0" borderId="0" xfId="204" applyFont="1" applyAlignment="1">
      <alignment horizontal="left" wrapText="1"/>
    </xf>
    <xf numFmtId="0" fontId="73" fillId="0" borderId="0" xfId="204" applyAlignment="1">
      <alignment wrapText="1"/>
    </xf>
    <xf numFmtId="0" fontId="73" fillId="0" borderId="92" xfId="204" applyBorder="1" applyAlignment="1">
      <alignment wrapText="1"/>
    </xf>
    <xf numFmtId="0" fontId="73" fillId="0" borderId="1" xfId="204" applyBorder="1" applyAlignment="1">
      <alignment wrapText="1"/>
    </xf>
    <xf numFmtId="0" fontId="63" fillId="28" borderId="32" xfId="2" applyNumberFormat="1" applyFont="1" applyFill="1" applyBorder="1" applyAlignment="1">
      <alignment horizontal="right" vertical="center"/>
    </xf>
    <xf numFmtId="0" fontId="63" fillId="28" borderId="6" xfId="2" applyNumberFormat="1" applyFont="1" applyFill="1" applyBorder="1" applyAlignment="1">
      <alignment horizontal="right" vertical="center"/>
    </xf>
    <xf numFmtId="170" fontId="63" fillId="28" borderId="32" xfId="2" applyNumberFormat="1" applyFont="1" applyFill="1" applyBorder="1" applyAlignment="1">
      <alignment horizontal="right" vertical="center"/>
    </xf>
    <xf numFmtId="170" fontId="63" fillId="28" borderId="6" xfId="2" applyNumberFormat="1" applyFont="1" applyFill="1" applyBorder="1" applyAlignment="1">
      <alignment horizontal="right" vertical="center"/>
    </xf>
    <xf numFmtId="0" fontId="63" fillId="26" borderId="37" xfId="0" applyNumberFormat="1" applyFont="1" applyFill="1" applyBorder="1" applyAlignment="1">
      <alignment horizontal="right"/>
    </xf>
    <xf numFmtId="0" fontId="63" fillId="26" borderId="7" xfId="0" applyNumberFormat="1" applyFont="1" applyFill="1" applyBorder="1" applyAlignment="1">
      <alignment horizontal="right"/>
    </xf>
    <xf numFmtId="0" fontId="63" fillId="18" borderId="40" xfId="0" applyNumberFormat="1" applyFont="1" applyFill="1" applyBorder="1" applyAlignment="1">
      <alignment horizontal="right"/>
    </xf>
    <xf numFmtId="0" fontId="63" fillId="18" borderId="39" xfId="0" applyNumberFormat="1" applyFont="1" applyFill="1" applyBorder="1" applyAlignment="1">
      <alignment horizontal="right"/>
    </xf>
    <xf numFmtId="0" fontId="63" fillId="27" borderId="32" xfId="2" applyNumberFormat="1" applyFont="1" applyFill="1" applyBorder="1" applyAlignment="1">
      <alignment horizontal="center" vertical="center"/>
    </xf>
    <xf numFmtId="0" fontId="63" fillId="27" borderId="6" xfId="2" applyNumberFormat="1" applyFont="1" applyFill="1" applyBorder="1" applyAlignment="1">
      <alignment horizontal="center" vertical="center"/>
    </xf>
    <xf numFmtId="0" fontId="63" fillId="27" borderId="33" xfId="2" applyNumberFormat="1" applyFont="1" applyFill="1" applyBorder="1" applyAlignment="1">
      <alignment horizontal="center" vertical="center"/>
    </xf>
    <xf numFmtId="170" fontId="63" fillId="27" borderId="58" xfId="2" applyNumberFormat="1" applyFont="1" applyFill="1" applyBorder="1" applyAlignment="1">
      <alignment horizontal="right" vertical="center"/>
    </xf>
    <xf numFmtId="170" fontId="63" fillId="27" borderId="50" xfId="2" applyNumberFormat="1" applyFont="1" applyFill="1" applyBorder="1" applyAlignment="1">
      <alignment horizontal="right" vertical="center"/>
    </xf>
    <xf numFmtId="170" fontId="63" fillId="27" borderId="53" xfId="2" applyNumberFormat="1" applyFont="1" applyFill="1" applyBorder="1" applyAlignment="1">
      <alignment horizontal="right" vertical="center"/>
    </xf>
    <xf numFmtId="0" fontId="63" fillId="26" borderId="32" xfId="2" applyNumberFormat="1" applyFont="1" applyFill="1" applyBorder="1" applyAlignment="1">
      <alignment horizontal="center" vertical="center"/>
    </xf>
    <xf numFmtId="0" fontId="63" fillId="26" borderId="6" xfId="2" applyNumberFormat="1" applyFont="1" applyFill="1" applyBorder="1" applyAlignment="1">
      <alignment horizontal="center" vertical="center"/>
    </xf>
    <xf numFmtId="0" fontId="63" fillId="26" borderId="33" xfId="2" applyNumberFormat="1" applyFont="1" applyFill="1" applyBorder="1" applyAlignment="1">
      <alignment horizontal="center" vertical="center"/>
    </xf>
    <xf numFmtId="170" fontId="63" fillId="22" borderId="58" xfId="2" applyNumberFormat="1" applyFont="1" applyFill="1" applyBorder="1" applyAlignment="1">
      <alignment horizontal="right" vertical="center"/>
    </xf>
    <xf numFmtId="170" fontId="63" fillId="22" borderId="50" xfId="2" applyNumberFormat="1" applyFont="1" applyFill="1" applyBorder="1" applyAlignment="1">
      <alignment horizontal="right" vertical="center"/>
    </xf>
    <xf numFmtId="170" fontId="63" fillId="22" borderId="53" xfId="2" applyNumberFormat="1" applyFont="1" applyFill="1" applyBorder="1" applyAlignment="1">
      <alignment horizontal="right" vertical="center"/>
    </xf>
    <xf numFmtId="0" fontId="31" fillId="17" borderId="34" xfId="2" applyNumberFormat="1" applyFont="1" applyFill="1" applyBorder="1" applyAlignment="1">
      <alignment horizontal="center" vertical="center"/>
    </xf>
    <xf numFmtId="0" fontId="31" fillId="17" borderId="35" xfId="2" applyNumberFormat="1" applyFont="1" applyFill="1" applyBorder="1" applyAlignment="1">
      <alignment horizontal="center" vertical="center"/>
    </xf>
    <xf numFmtId="0" fontId="63" fillId="28" borderId="37" xfId="0" applyNumberFormat="1" applyFont="1" applyFill="1" applyBorder="1" applyAlignment="1">
      <alignment horizontal="right"/>
    </xf>
    <xf numFmtId="0" fontId="63" fillId="28" borderId="7" xfId="0" applyNumberFormat="1" applyFont="1" applyFill="1" applyBorder="1" applyAlignment="1">
      <alignment horizontal="right"/>
    </xf>
    <xf numFmtId="0" fontId="63" fillId="27" borderId="37" xfId="0" applyNumberFormat="1" applyFont="1" applyFill="1" applyBorder="1" applyAlignment="1">
      <alignment horizontal="right"/>
    </xf>
    <xf numFmtId="0" fontId="63" fillId="27" borderId="7" xfId="0" applyNumberFormat="1" applyFont="1" applyFill="1" applyBorder="1" applyAlignment="1">
      <alignment horizontal="right"/>
    </xf>
    <xf numFmtId="0" fontId="63" fillId="26" borderId="97" xfId="0" applyNumberFormat="1" applyFont="1" applyFill="1" applyBorder="1" applyAlignment="1">
      <alignment horizontal="right"/>
    </xf>
    <xf numFmtId="0" fontId="63" fillId="26" borderId="2" xfId="0" applyNumberFormat="1" applyFont="1" applyFill="1" applyBorder="1" applyAlignment="1">
      <alignment horizontal="right"/>
    </xf>
    <xf numFmtId="0" fontId="63" fillId="26" borderId="8" xfId="0" applyNumberFormat="1" applyFont="1" applyFill="1" applyBorder="1" applyAlignment="1">
      <alignment horizontal="right"/>
    </xf>
    <xf numFmtId="170" fontId="63" fillId="28" borderId="32" xfId="2" applyNumberFormat="1" applyFont="1" applyFill="1" applyBorder="1" applyAlignment="1">
      <alignment horizontal="center" vertical="center"/>
    </xf>
    <xf numFmtId="170" fontId="63" fillId="28" borderId="6" xfId="2" applyNumberFormat="1" applyFont="1" applyFill="1" applyBorder="1" applyAlignment="1">
      <alignment horizontal="center" vertical="center"/>
    </xf>
    <xf numFmtId="0" fontId="31" fillId="2" borderId="0" xfId="2" applyNumberFormat="1" applyFont="1" applyFill="1" applyAlignment="1">
      <alignment horizontal="center" vertical="center" wrapText="1"/>
    </xf>
    <xf numFmtId="0" fontId="16" fillId="14" borderId="22" xfId="271" applyNumberFormat="1" applyFont="1" applyFill="1" applyBorder="1" applyAlignment="1">
      <alignment horizontal="left" vertical="center"/>
    </xf>
    <xf numFmtId="0" fontId="16" fillId="14" borderId="17" xfId="271" applyNumberFormat="1" applyFont="1" applyFill="1" applyBorder="1" applyAlignment="1">
      <alignment horizontal="left" vertical="center"/>
    </xf>
    <xf numFmtId="0" fontId="16" fillId="15" borderId="23" xfId="271" applyNumberFormat="1" applyFont="1" applyFill="1" applyBorder="1" applyAlignment="1">
      <alignment horizontal="left" vertical="center"/>
    </xf>
    <xf numFmtId="0" fontId="16" fillId="15" borderId="24" xfId="271" applyNumberFormat="1" applyFont="1" applyFill="1" applyBorder="1" applyAlignment="1">
      <alignment horizontal="left" vertical="center"/>
    </xf>
    <xf numFmtId="170" fontId="66" fillId="0" borderId="96" xfId="0" applyNumberFormat="1" applyFont="1" applyBorder="1" applyAlignment="1">
      <alignment horizontal="center" vertical="center" wrapText="1"/>
    </xf>
    <xf numFmtId="170" fontId="66" fillId="0" borderId="83" xfId="0" applyNumberFormat="1" applyFont="1" applyBorder="1" applyAlignment="1">
      <alignment horizontal="center" vertical="center" wrapText="1"/>
    </xf>
    <xf numFmtId="170" fontId="66" fillId="0" borderId="100" xfId="0" applyNumberFormat="1" applyFont="1" applyBorder="1" applyAlignment="1">
      <alignment horizontal="center" vertical="center" wrapText="1"/>
    </xf>
    <xf numFmtId="170" fontId="66" fillId="0" borderId="84" xfId="0" applyNumberFormat="1" applyFont="1" applyBorder="1" applyAlignment="1">
      <alignment horizontal="center" vertical="center" wrapText="1"/>
    </xf>
    <xf numFmtId="0" fontId="24" fillId="3" borderId="52" xfId="0" applyNumberFormat="1" applyFont="1" applyFill="1" applyBorder="1" applyAlignment="1">
      <alignment horizontal="center" vertical="center" wrapText="1"/>
    </xf>
    <xf numFmtId="0" fontId="24" fillId="3" borderId="45" xfId="0" applyNumberFormat="1" applyFont="1" applyFill="1" applyBorder="1" applyAlignment="1">
      <alignment horizontal="center" vertical="center" wrapText="1"/>
    </xf>
    <xf numFmtId="170" fontId="63" fillId="3" borderId="6" xfId="2" applyNumberFormat="1" applyFont="1" applyFill="1" applyBorder="1" applyAlignment="1">
      <alignment horizontal="center" vertical="center"/>
    </xf>
    <xf numFmtId="170" fontId="63" fillId="3" borderId="33" xfId="2" applyNumberFormat="1" applyFont="1" applyFill="1" applyBorder="1" applyAlignment="1">
      <alignment horizontal="center" vertical="center"/>
    </xf>
    <xf numFmtId="170" fontId="70" fillId="17" borderId="32" xfId="2" applyNumberFormat="1" applyFont="1" applyFill="1" applyBorder="1" applyAlignment="1">
      <alignment horizontal="center" vertical="center"/>
    </xf>
    <xf numFmtId="170" fontId="70" fillId="17" borderId="6" xfId="2" applyNumberFormat="1" applyFont="1" applyFill="1" applyBorder="1" applyAlignment="1">
      <alignment horizontal="center" vertical="center"/>
    </xf>
    <xf numFmtId="170" fontId="70" fillId="17" borderId="65" xfId="2" applyNumberFormat="1" applyFont="1" applyFill="1" applyBorder="1" applyAlignment="1">
      <alignment horizontal="center" vertical="center"/>
    </xf>
    <xf numFmtId="170" fontId="72" fillId="24" borderId="66" xfId="2" applyNumberFormat="1" applyFont="1" applyFill="1" applyBorder="1" applyAlignment="1" applyProtection="1">
      <alignment horizontal="center" vertical="center" wrapText="1"/>
      <protection locked="0"/>
    </xf>
    <xf numFmtId="170" fontId="72" fillId="24" borderId="33" xfId="2" applyNumberFormat="1" applyFont="1" applyFill="1" applyBorder="1" applyAlignment="1" applyProtection="1">
      <alignment horizontal="center" vertical="center" wrapText="1"/>
      <protection locked="0"/>
    </xf>
    <xf numFmtId="4" fontId="27" fillId="0" borderId="121" xfId="0" applyNumberFormat="1" applyFont="1" applyBorder="1" applyAlignment="1">
      <alignment horizontal="right" vertical="center" wrapText="1"/>
    </xf>
    <xf numFmtId="4" fontId="27" fillId="0" borderId="122" xfId="0" applyNumberFormat="1" applyFont="1" applyBorder="1" applyAlignment="1">
      <alignment horizontal="right" vertical="center" wrapText="1"/>
    </xf>
    <xf numFmtId="4" fontId="27" fillId="0" borderId="120" xfId="0" applyNumberFormat="1" applyFont="1" applyBorder="1" applyAlignment="1">
      <alignment horizontal="right" vertical="center" wrapText="1"/>
    </xf>
    <xf numFmtId="4" fontId="25" fillId="0" borderId="121" xfId="0" applyNumberFormat="1" applyFont="1" applyBorder="1" applyAlignment="1">
      <alignment horizontal="center" vertical="center" wrapText="1"/>
    </xf>
    <xf numFmtId="4" fontId="25" fillId="0" borderId="122" xfId="0" applyNumberFormat="1" applyFont="1" applyBorder="1" applyAlignment="1">
      <alignment horizontal="center" vertical="center" wrapText="1"/>
    </xf>
    <xf numFmtId="4" fontId="25" fillId="0" borderId="120" xfId="0" applyNumberFormat="1" applyFont="1" applyBorder="1" applyAlignment="1">
      <alignment horizontal="center" vertical="center" wrapText="1"/>
    </xf>
    <xf numFmtId="0" fontId="62" fillId="0" borderId="0" xfId="204" applyFont="1" applyAlignment="1">
      <alignment textRotation="90"/>
    </xf>
    <xf numFmtId="0" fontId="6" fillId="0" borderId="29" xfId="204" applyFont="1" applyBorder="1" applyAlignment="1">
      <alignment wrapText="1"/>
    </xf>
    <xf numFmtId="0" fontId="3" fillId="0" borderId="7" xfId="204" applyFont="1" applyBorder="1" applyAlignment="1">
      <alignment wrapText="1"/>
    </xf>
    <xf numFmtId="0" fontId="6" fillId="0" borderId="7" xfId="204" applyFont="1" applyBorder="1" applyAlignment="1">
      <alignment wrapText="1"/>
    </xf>
    <xf numFmtId="0" fontId="62" fillId="0" borderId="80" xfId="204" applyFont="1" applyBorder="1" applyAlignment="1">
      <alignment textRotation="90" wrapText="1"/>
    </xf>
    <xf numFmtId="0" fontId="62" fillId="0" borderId="71" xfId="204" applyFont="1" applyBorder="1" applyAlignment="1">
      <alignment textRotation="90" wrapText="1"/>
    </xf>
    <xf numFmtId="0" fontId="62" fillId="0" borderId="43" xfId="204" applyFont="1" applyBorder="1" applyAlignment="1">
      <alignment textRotation="90" wrapText="1"/>
    </xf>
    <xf numFmtId="0" fontId="73" fillId="0" borderId="2" xfId="204" applyBorder="1" applyAlignment="1">
      <alignment wrapText="1"/>
    </xf>
  </cellXfs>
  <cellStyles count="1262">
    <cellStyle name="_Doc_page" xfId="8" xr:uid="{00000000-0005-0000-0000-000000000000}"/>
    <cellStyle name="_Q34242 SIBNEFT-ONPZ AVT-10 rev5b" xfId="9" xr:uid="{00000000-0005-0000-0000-000001000000}"/>
    <cellStyle name="_Q35082 TATNEFT_PAOM_Rev2_HART" xfId="10" xr:uid="{00000000-0005-0000-0000-000002000000}"/>
    <cellStyle name="_Q35706 UKL rev0" xfId="11" xr:uid="{00000000-0005-0000-0000-000003000000}"/>
    <cellStyle name="_Q36015_Sterlitamak_H-1b_rev0_with HIMA" xfId="12" xr:uid="{00000000-0005-0000-0000-000004000000}"/>
    <cellStyle name="_Q36033_SCADA_rev5" xfId="13" xr:uid="{00000000-0005-0000-0000-000005000000}"/>
    <cellStyle name="_Q36XXX West-Ozer rev0" xfId="14" xr:uid="{00000000-0005-0000-0000-000006000000}"/>
    <cellStyle name="_Q45764_rm" xfId="15" xr:uid="{00000000-0005-0000-0000-000007000000}"/>
    <cellStyle name="_Q49xxx_FCD949_Short" xfId="16" xr:uid="{00000000-0005-0000-0000-000008000000}"/>
    <cellStyle name="_QJapan_tx2" xfId="17" xr:uid="{00000000-0005-0000-0000-000009000000}"/>
    <cellStyle name="CALCULATED" xfId="18" xr:uid="{00000000-0005-0000-0000-00000A000000}"/>
    <cellStyle name="chapter" xfId="19" xr:uid="{00000000-0005-0000-0000-00000C000000}"/>
    <cellStyle name="Chapter Heading" xfId="20" xr:uid="{00000000-0005-0000-0000-00000D000000}"/>
    <cellStyle name="dont_touch_me" xfId="22" xr:uid="{00000000-0005-0000-0000-00000F000000}"/>
    <cellStyle name="GESPERRT" xfId="23" xr:uid="{00000000-0005-0000-0000-000011000000}"/>
    <cellStyle name="GrandTotal" xfId="24" xr:uid="{00000000-0005-0000-0000-000012000000}"/>
    <cellStyle name="HIDDEN" xfId="28" xr:uid="{00000000-0005-0000-0000-000013000000}"/>
    <cellStyle name="highlight" xfId="29" xr:uid="{00000000-0005-0000-0000-000014000000}"/>
    <cellStyle name="INPUT" xfId="31" xr:uid="{00000000-0005-0000-0000-000016000000}"/>
    <cellStyle name="Input 2" xfId="58" xr:uid="{00000000-0005-0000-0000-000017000000}"/>
    <cellStyle name="item" xfId="32" xr:uid="{00000000-0005-0000-0000-000018000000}"/>
    <cellStyle name="kapiteltotal" xfId="33" xr:uid="{00000000-0005-0000-0000-000019000000}"/>
    <cellStyle name="NON" xfId="34" xr:uid="{00000000-0005-0000-0000-00001C000000}"/>
    <cellStyle name="Normal 1" xfId="35" xr:uid="{00000000-0005-0000-0000-00001E000000}"/>
    <cellStyle name="Normal 2" xfId="2" xr:uid="{00000000-0005-0000-0000-00001F000000}"/>
    <cellStyle name="Normal 3" xfId="3" xr:uid="{00000000-0005-0000-0000-000020000000}"/>
    <cellStyle name="Normal 3 10" xfId="322" xr:uid="{00000000-0005-0000-0000-000020000000}"/>
    <cellStyle name="Normal 3 10 2" xfId="967" xr:uid="{B00A9A32-FCF0-43B5-BA79-2A478F155042}"/>
    <cellStyle name="Normal 3 11" xfId="759" xr:uid="{A5D3DD21-1F44-4F32-8C37-D4652D733D20}"/>
    <cellStyle name="Normal 3 2" xfId="5" xr:uid="{00000000-0005-0000-0000-000021000000}"/>
    <cellStyle name="Normal 3 2 10" xfId="761" xr:uid="{7068EED0-A270-4666-B5E5-5D18A0E24C8C}"/>
    <cellStyle name="Normal 3 2 2" xfId="52" xr:uid="{00000000-0005-0000-0000-000022000000}"/>
    <cellStyle name="Normal 3 2 2 2" xfId="96" xr:uid="{00000000-0005-0000-0000-000022000000}"/>
    <cellStyle name="Normal 3 2 2 2 2" xfId="170" xr:uid="{00000000-0005-0000-0000-000022000000}"/>
    <cellStyle name="Normal 3 2 2 2 2 2" xfId="517" xr:uid="{00000000-0005-0000-0000-000022000000}"/>
    <cellStyle name="Normal 3 2 2 2 2 2 2" xfId="1116" xr:uid="{744CAA43-D459-4A30-9759-6E2973FC9A5E}"/>
    <cellStyle name="Normal 3 2 2 2 2 3" xfId="876" xr:uid="{79AD0975-24E8-4ABC-BE09-EC740822C849}"/>
    <cellStyle name="Normal 3 2 2 2 3" xfId="445" xr:uid="{00000000-0005-0000-0000-000022000000}"/>
    <cellStyle name="Normal 3 2 2 2 3 2" xfId="1044" xr:uid="{7635A2BD-CC2F-4916-8C7D-F283B5F39884}"/>
    <cellStyle name="Normal 3 2 2 2 4" xfId="804" xr:uid="{C7FD5470-22D0-4CBD-B486-9457ED98E486}"/>
    <cellStyle name="Normal 3 2 2 3" xfId="116" xr:uid="{00000000-0005-0000-0000-000022000000}"/>
    <cellStyle name="Normal 3 2 2 3 2" xfId="188" xr:uid="{00000000-0005-0000-0000-000022000000}"/>
    <cellStyle name="Normal 3 2 2 3 2 2" xfId="535" xr:uid="{00000000-0005-0000-0000-000022000000}"/>
    <cellStyle name="Normal 3 2 2 3 2 2 2" xfId="1134" xr:uid="{24D09476-F5F0-4DC1-AB26-81127EB1E1E2}"/>
    <cellStyle name="Normal 3 2 2 3 2 3" xfId="894" xr:uid="{E813D664-2986-4919-833F-D6DC71917891}"/>
    <cellStyle name="Normal 3 2 2 3 3" xfId="463" xr:uid="{00000000-0005-0000-0000-000022000000}"/>
    <cellStyle name="Normal 3 2 2 3 3 2" xfId="1062" xr:uid="{AD2EA4C7-2C3D-4B1F-A42F-3376470338F1}"/>
    <cellStyle name="Normal 3 2 2 3 4" xfId="822" xr:uid="{3AB9119A-83A1-481F-9D98-84C14E7A7D04}"/>
    <cellStyle name="Normal 3 2 2 4" xfId="77" xr:uid="{00000000-0005-0000-0000-000022000000}"/>
    <cellStyle name="Normal 3 2 2 4 2" xfId="152" xr:uid="{00000000-0005-0000-0000-000022000000}"/>
    <cellStyle name="Normal 3 2 2 4 2 2" xfId="499" xr:uid="{00000000-0005-0000-0000-000022000000}"/>
    <cellStyle name="Normal 3 2 2 4 2 2 2" xfId="1098" xr:uid="{9AA69313-F9D1-4A9C-B137-1BB51D4B7955}"/>
    <cellStyle name="Normal 3 2 2 4 2 3" xfId="858" xr:uid="{39135E9D-B885-418C-9F81-254BC1153F85}"/>
    <cellStyle name="Normal 3 2 2 4 3" xfId="428" xr:uid="{00000000-0005-0000-0000-000022000000}"/>
    <cellStyle name="Normal 3 2 2 4 3 2" xfId="1027" xr:uid="{EFD45FB6-F080-4EB9-B322-B495807E75A0}"/>
    <cellStyle name="Normal 3 2 2 4 4" xfId="786" xr:uid="{1EF3390C-F790-49AD-8EF2-03A76EC6E0E1}"/>
    <cellStyle name="Normal 3 2 2 5" xfId="221" xr:uid="{00000000-0005-0000-0000-000022000000}"/>
    <cellStyle name="Normal 3 2 2 5 2" xfId="561" xr:uid="{00000000-0005-0000-0000-000022000000}"/>
    <cellStyle name="Normal 3 2 2 5 2 2" xfId="1158" xr:uid="{F9AE4C70-2936-43B3-BAD9-4282425C3D48}"/>
    <cellStyle name="Normal 3 2 2 5 3" xfId="919" xr:uid="{2C55592D-B0D8-4005-9624-440FE7FB0E77}"/>
    <cellStyle name="Normal 3 2 2 6" xfId="134" xr:uid="{00000000-0005-0000-0000-000022000000}"/>
    <cellStyle name="Normal 3 2 2 6 2" xfId="481" xr:uid="{00000000-0005-0000-0000-000022000000}"/>
    <cellStyle name="Normal 3 2 2 6 2 2" xfId="1080" xr:uid="{466AD613-2F0A-4785-B5D7-D8E1662DE54C}"/>
    <cellStyle name="Normal 3 2 2 6 3" xfId="840" xr:uid="{A91E2300-9BA9-4AE0-8571-0AE434081B98}"/>
    <cellStyle name="Normal 3 2 2 7" xfId="666" xr:uid="{00000000-0005-0000-0000-000022000000}"/>
    <cellStyle name="Normal 3 2 2 7 2" xfId="1215" xr:uid="{049AE269-E173-4725-A57E-1B91B32DA4B3}"/>
    <cellStyle name="Normal 3 2 2 8" xfId="331" xr:uid="{00000000-0005-0000-0000-000022000000}"/>
    <cellStyle name="Normal 3 2 2 8 2" xfId="976" xr:uid="{17920AD7-5707-4B3B-A9CC-5D07009D0BFC}"/>
    <cellStyle name="Normal 3 2 2 9" xfId="768" xr:uid="{B247FAE7-8BA8-4D52-A203-DB86FDE09A4B}"/>
    <cellStyle name="Normal 3 2 3" xfId="89" xr:uid="{00000000-0005-0000-0000-000021000000}"/>
    <cellStyle name="Normal 3 2 3 2" xfId="163" xr:uid="{00000000-0005-0000-0000-000021000000}"/>
    <cellStyle name="Normal 3 2 3 2 2" xfId="510" xr:uid="{00000000-0005-0000-0000-000021000000}"/>
    <cellStyle name="Normal 3 2 3 2 2 2" xfId="1109" xr:uid="{D945D381-D29A-4F24-92FB-510C8D0D6D6C}"/>
    <cellStyle name="Normal 3 2 3 2 3" xfId="869" xr:uid="{973DF08B-655E-4DB4-98D1-8FBCAAD5F6FF}"/>
    <cellStyle name="Normal 3 2 3 3" xfId="439" xr:uid="{00000000-0005-0000-0000-000021000000}"/>
    <cellStyle name="Normal 3 2 3 3 2" xfId="1038" xr:uid="{4CC480FA-E4D0-4865-BDAD-3CF63C09FFAD}"/>
    <cellStyle name="Normal 3 2 3 4" xfId="797" xr:uid="{981E28FE-BA58-460E-8A43-46AD14FD6B0D}"/>
    <cellStyle name="Normal 3 2 4" xfId="109" xr:uid="{00000000-0005-0000-0000-000021000000}"/>
    <cellStyle name="Normal 3 2 4 2" xfId="181" xr:uid="{00000000-0005-0000-0000-000021000000}"/>
    <cellStyle name="Normal 3 2 4 2 2" xfId="528" xr:uid="{00000000-0005-0000-0000-000021000000}"/>
    <cellStyle name="Normal 3 2 4 2 2 2" xfId="1127" xr:uid="{CD89DCAF-DCB6-4955-99F9-B00F28E4281D}"/>
    <cellStyle name="Normal 3 2 4 2 3" xfId="887" xr:uid="{9D02B8AF-683B-4F5E-AE94-81ADE6583393}"/>
    <cellStyle name="Normal 3 2 4 3" xfId="456" xr:uid="{00000000-0005-0000-0000-000021000000}"/>
    <cellStyle name="Normal 3 2 4 3 2" xfId="1055" xr:uid="{6C2EB12E-FFF3-47A6-94EC-F0F957E59722}"/>
    <cellStyle name="Normal 3 2 4 4" xfId="815" xr:uid="{D953E86F-BCE9-406D-AFFB-5A03B3D89AB5}"/>
    <cellStyle name="Normal 3 2 5" xfId="70" xr:uid="{00000000-0005-0000-0000-000021000000}"/>
    <cellStyle name="Normal 3 2 5 2" xfId="145" xr:uid="{00000000-0005-0000-0000-000021000000}"/>
    <cellStyle name="Normal 3 2 5 2 2" xfId="492" xr:uid="{00000000-0005-0000-0000-000021000000}"/>
    <cellStyle name="Normal 3 2 5 2 2 2" xfId="1091" xr:uid="{7A22C301-E44E-4C1F-B69D-67061B85D771}"/>
    <cellStyle name="Normal 3 2 5 2 3" xfId="851" xr:uid="{93BEFF88-81BD-46BA-A911-EC2AEA9989B6}"/>
    <cellStyle name="Normal 3 2 5 3" xfId="421" xr:uid="{00000000-0005-0000-0000-000021000000}"/>
    <cellStyle name="Normal 3 2 5 3 2" xfId="1020" xr:uid="{E9F07D79-8D20-45C3-AB35-4DBB5979DA65}"/>
    <cellStyle name="Normal 3 2 5 4" xfId="779" xr:uid="{62743B5B-393A-4D37-A027-FCC56AED4EDA}"/>
    <cellStyle name="Normal 3 2 6" xfId="212" xr:uid="{00000000-0005-0000-0000-000021000000}"/>
    <cellStyle name="Normal 3 2 6 2" xfId="554" xr:uid="{00000000-0005-0000-0000-000021000000}"/>
    <cellStyle name="Normal 3 2 6 2 2" xfId="1151" xr:uid="{1A66ADA4-8F77-49E8-9CD0-485EF23EC164}"/>
    <cellStyle name="Normal 3 2 6 3" xfId="912" xr:uid="{CAB40265-18A7-473D-B597-93283A048E9A}"/>
    <cellStyle name="Normal 3 2 7" xfId="127" xr:uid="{00000000-0005-0000-0000-000021000000}"/>
    <cellStyle name="Normal 3 2 7 2" xfId="474" xr:uid="{00000000-0005-0000-0000-000021000000}"/>
    <cellStyle name="Normal 3 2 7 2 2" xfId="1073" xr:uid="{05275B76-03D0-47FA-9805-DF3E6B164CCF}"/>
    <cellStyle name="Normal 3 2 7 3" xfId="833" xr:uid="{8442F32F-B8CD-40F1-B325-B56C5E6F7B46}"/>
    <cellStyle name="Normal 3 2 8" xfId="659" xr:uid="{00000000-0005-0000-0000-000021000000}"/>
    <cellStyle name="Normal 3 2 8 2" xfId="1208" xr:uid="{8849B8F7-E8E1-4E29-98A9-F3CAFEDCFF45}"/>
    <cellStyle name="Normal 3 2 9" xfId="324" xr:uid="{00000000-0005-0000-0000-000021000000}"/>
    <cellStyle name="Normal 3 2 9 2" xfId="969" xr:uid="{A505CAF1-7B7A-43ED-B37D-740F8BAC5242}"/>
    <cellStyle name="Normal 3 3" xfId="50" xr:uid="{00000000-0005-0000-0000-000023000000}"/>
    <cellStyle name="Normal 3 3 2" xfId="94" xr:uid="{00000000-0005-0000-0000-000023000000}"/>
    <cellStyle name="Normal 3 3 2 2" xfId="168" xr:uid="{00000000-0005-0000-0000-000023000000}"/>
    <cellStyle name="Normal 3 3 2 2 2" xfId="515" xr:uid="{00000000-0005-0000-0000-000023000000}"/>
    <cellStyle name="Normal 3 3 2 2 2 2" xfId="1114" xr:uid="{BB4406C8-9E27-48BB-88C1-8762EE6020BD}"/>
    <cellStyle name="Normal 3 3 2 2 3" xfId="874" xr:uid="{C86142D1-B06A-4935-80EF-539D751FEBD7}"/>
    <cellStyle name="Normal 3 3 2 3" xfId="443" xr:uid="{00000000-0005-0000-0000-000023000000}"/>
    <cellStyle name="Normal 3 3 2 3 2" xfId="1042" xr:uid="{FF0961C3-0B15-4C5A-8AF6-8DD501EA1FEA}"/>
    <cellStyle name="Normal 3 3 2 4" xfId="802" xr:uid="{90958293-ACDD-41E0-9537-1999B750BB52}"/>
    <cellStyle name="Normal 3 3 3" xfId="114" xr:uid="{00000000-0005-0000-0000-000023000000}"/>
    <cellStyle name="Normal 3 3 3 2" xfId="186" xr:uid="{00000000-0005-0000-0000-000023000000}"/>
    <cellStyle name="Normal 3 3 3 2 2" xfId="533" xr:uid="{00000000-0005-0000-0000-000023000000}"/>
    <cellStyle name="Normal 3 3 3 2 2 2" xfId="1132" xr:uid="{AF55D987-5D90-4C9C-9620-B524066C5B5E}"/>
    <cellStyle name="Normal 3 3 3 2 3" xfId="892" xr:uid="{F9CB29D5-A49E-4C0A-86F4-C16238207FAA}"/>
    <cellStyle name="Normal 3 3 3 3" xfId="461" xr:uid="{00000000-0005-0000-0000-000023000000}"/>
    <cellStyle name="Normal 3 3 3 3 2" xfId="1060" xr:uid="{A24DF10A-C1F2-45AB-8E1D-4B36D3CC97C0}"/>
    <cellStyle name="Normal 3 3 3 4" xfId="820" xr:uid="{1793B5B0-1069-4F88-B2F4-405234089689}"/>
    <cellStyle name="Normal 3 3 4" xfId="75" xr:uid="{00000000-0005-0000-0000-000023000000}"/>
    <cellStyle name="Normal 3 3 4 2" xfId="150" xr:uid="{00000000-0005-0000-0000-000023000000}"/>
    <cellStyle name="Normal 3 3 4 2 2" xfId="497" xr:uid="{00000000-0005-0000-0000-000023000000}"/>
    <cellStyle name="Normal 3 3 4 2 2 2" xfId="1096" xr:uid="{997C9B6B-86B4-483F-90DA-D0632B2A2FC4}"/>
    <cellStyle name="Normal 3 3 4 2 3" xfId="856" xr:uid="{4035ED6D-940E-4D51-9434-905355D151AB}"/>
    <cellStyle name="Normal 3 3 4 3" xfId="426" xr:uid="{00000000-0005-0000-0000-000023000000}"/>
    <cellStyle name="Normal 3 3 4 3 2" xfId="1025" xr:uid="{E86AA5C2-F191-422F-A99E-397EEE03F8F9}"/>
    <cellStyle name="Normal 3 3 4 4" xfId="784" xr:uid="{252565A1-F9BB-4B2B-A984-3CBE93867852}"/>
    <cellStyle name="Normal 3 3 5" xfId="219" xr:uid="{00000000-0005-0000-0000-000023000000}"/>
    <cellStyle name="Normal 3 3 5 2" xfId="559" xr:uid="{00000000-0005-0000-0000-000023000000}"/>
    <cellStyle name="Normal 3 3 5 2 2" xfId="1156" xr:uid="{834489A1-D4F9-4B68-8CC7-E257C1EE637C}"/>
    <cellStyle name="Normal 3 3 5 3" xfId="917" xr:uid="{7E93AB40-06E7-495D-967A-AC8A044F7073}"/>
    <cellStyle name="Normal 3 3 6" xfId="132" xr:uid="{00000000-0005-0000-0000-000023000000}"/>
    <cellStyle name="Normal 3 3 6 2" xfId="479" xr:uid="{00000000-0005-0000-0000-000023000000}"/>
    <cellStyle name="Normal 3 3 6 2 2" xfId="1078" xr:uid="{10F80201-D7D1-4C95-8268-234F5A84FF11}"/>
    <cellStyle name="Normal 3 3 6 3" xfId="838" xr:uid="{028204BC-574A-4144-A043-838AB3219D76}"/>
    <cellStyle name="Normal 3 3 7" xfId="664" xr:uid="{00000000-0005-0000-0000-000023000000}"/>
    <cellStyle name="Normal 3 3 7 2" xfId="1213" xr:uid="{DA5B6EE7-D2F3-477D-91CC-78BB5FC969B6}"/>
    <cellStyle name="Normal 3 3 8" xfId="329" xr:uid="{00000000-0005-0000-0000-000023000000}"/>
    <cellStyle name="Normal 3 3 8 2" xfId="974" xr:uid="{95F6B36E-7ABB-496C-965E-5819A5BC7A70}"/>
    <cellStyle name="Normal 3 3 9" xfId="766" xr:uid="{FBDD405D-76D3-4F72-82E7-4D4D29252572}"/>
    <cellStyle name="Normal 3 4" xfId="87" xr:uid="{00000000-0005-0000-0000-000020000000}"/>
    <cellStyle name="Normal 3 4 2" xfId="161" xr:uid="{00000000-0005-0000-0000-000020000000}"/>
    <cellStyle name="Normal 3 4 2 2" xfId="508" xr:uid="{00000000-0005-0000-0000-000020000000}"/>
    <cellStyle name="Normal 3 4 2 2 2" xfId="1107" xr:uid="{6FC89461-2720-46E6-9F33-E2B3E0308B96}"/>
    <cellStyle name="Normal 3 4 2 3" xfId="867" xr:uid="{2E786EBA-16A5-44A9-8355-D6ED2C0E9421}"/>
    <cellStyle name="Normal 3 4 3" xfId="437" xr:uid="{00000000-0005-0000-0000-000020000000}"/>
    <cellStyle name="Normal 3 4 3 2" xfId="1036" xr:uid="{70FC65BE-E3D1-48EB-BD72-D84A0C552ED7}"/>
    <cellStyle name="Normal 3 4 4" xfId="795" xr:uid="{774C9DE5-B1D6-423C-8DA8-A0809491FAB4}"/>
    <cellStyle name="Normal 3 5" xfId="107" xr:uid="{00000000-0005-0000-0000-000020000000}"/>
    <cellStyle name="Normal 3 5 2" xfId="179" xr:uid="{00000000-0005-0000-0000-000020000000}"/>
    <cellStyle name="Normal 3 5 2 2" xfId="526" xr:uid="{00000000-0005-0000-0000-000020000000}"/>
    <cellStyle name="Normal 3 5 2 2 2" xfId="1125" xr:uid="{C4AE1394-8320-420B-926E-78B9CB236ED7}"/>
    <cellStyle name="Normal 3 5 2 3" xfId="885" xr:uid="{33FAFA32-3942-4685-9DD3-62CCFB4A3CE4}"/>
    <cellStyle name="Normal 3 5 3" xfId="454" xr:uid="{00000000-0005-0000-0000-000020000000}"/>
    <cellStyle name="Normal 3 5 3 2" xfId="1053" xr:uid="{BFF41F4C-5331-4B45-A453-2003EDC95E63}"/>
    <cellStyle name="Normal 3 5 4" xfId="813" xr:uid="{0EDA4AD5-D998-4361-B788-EE49390377A1}"/>
    <cellStyle name="Normal 3 6" xfId="68" xr:uid="{00000000-0005-0000-0000-000020000000}"/>
    <cellStyle name="Normal 3 6 2" xfId="143" xr:uid="{00000000-0005-0000-0000-000020000000}"/>
    <cellStyle name="Normal 3 6 2 2" xfId="490" xr:uid="{00000000-0005-0000-0000-000020000000}"/>
    <cellStyle name="Normal 3 6 2 2 2" xfId="1089" xr:uid="{D6C53119-2D44-408F-9E8B-29FFFA094A2E}"/>
    <cellStyle name="Normal 3 6 2 3" xfId="849" xr:uid="{77B5B69E-7420-49E0-9042-DB5523D0E3F2}"/>
    <cellStyle name="Normal 3 6 3" xfId="419" xr:uid="{00000000-0005-0000-0000-000020000000}"/>
    <cellStyle name="Normal 3 6 3 2" xfId="1018" xr:uid="{C991DED0-9FBB-4637-BE34-4CE07E12CBF7}"/>
    <cellStyle name="Normal 3 6 4" xfId="777" xr:uid="{211AAE2B-DBE2-4FD4-BF37-AEB7C5C5E59E}"/>
    <cellStyle name="Normal 3 7" xfId="210" xr:uid="{00000000-0005-0000-0000-000020000000}"/>
    <cellStyle name="Normal 3 7 2" xfId="552" xr:uid="{00000000-0005-0000-0000-000020000000}"/>
    <cellStyle name="Normal 3 7 2 2" xfId="1149" xr:uid="{935D1A37-028F-40F3-B570-F0B8B020DA1B}"/>
    <cellStyle name="Normal 3 7 3" xfId="910" xr:uid="{555F3465-77C0-46EF-A383-26A41C505DFF}"/>
    <cellStyle name="Normal 3 8" xfId="125" xr:uid="{00000000-0005-0000-0000-000020000000}"/>
    <cellStyle name="Normal 3 8 2" xfId="472" xr:uid="{00000000-0005-0000-0000-000020000000}"/>
    <cellStyle name="Normal 3 8 2 2" xfId="1071" xr:uid="{22DCD640-BE90-4256-82F1-33A9A506271F}"/>
    <cellStyle name="Normal 3 8 3" xfId="831" xr:uid="{DAA77711-9431-4A8C-B3A3-F2884192D3EF}"/>
    <cellStyle name="Normal 3 9" xfId="657" xr:uid="{00000000-0005-0000-0000-000020000000}"/>
    <cellStyle name="Normal 3 9 2" xfId="1206" xr:uid="{E0E78AF2-43F4-4982-B1DE-FD4DF2C123D8}"/>
    <cellStyle name="Normal 4" xfId="4" xr:uid="{00000000-0005-0000-0000-000024000000}"/>
    <cellStyle name="Normal 4 10" xfId="323" xr:uid="{00000000-0005-0000-0000-000024000000}"/>
    <cellStyle name="Normal 4 10 2" xfId="968" xr:uid="{19A997F8-F8C1-4560-BA40-863BF678EAFD}"/>
    <cellStyle name="Normal 4 11" xfId="760" xr:uid="{1A58736A-3131-4068-AD38-EEE050334AE2}"/>
    <cellStyle name="Normal 4 2" xfId="6" xr:uid="{00000000-0005-0000-0000-000025000000}"/>
    <cellStyle name="Normal 4 2 10" xfId="762" xr:uid="{D056C81A-58A7-4F0F-93BD-AB30E14026CB}"/>
    <cellStyle name="Normal 4 2 2" xfId="53" xr:uid="{00000000-0005-0000-0000-000026000000}"/>
    <cellStyle name="Normal 4 2 2 2" xfId="97" xr:uid="{00000000-0005-0000-0000-000026000000}"/>
    <cellStyle name="Normal 4 2 2 2 2" xfId="171" xr:uid="{00000000-0005-0000-0000-000026000000}"/>
    <cellStyle name="Normal 4 2 2 2 2 2" xfId="518" xr:uid="{00000000-0005-0000-0000-000026000000}"/>
    <cellStyle name="Normal 4 2 2 2 2 2 2" xfId="1117" xr:uid="{E7C0E55C-8ED7-4408-8467-E164474A7F4F}"/>
    <cellStyle name="Normal 4 2 2 2 2 3" xfId="877" xr:uid="{10826B84-B099-4DA0-9D6B-A475D273812E}"/>
    <cellStyle name="Normal 4 2 2 2 3" xfId="446" xr:uid="{00000000-0005-0000-0000-000026000000}"/>
    <cellStyle name="Normal 4 2 2 2 3 2" xfId="1045" xr:uid="{BBCE9C01-A93F-490C-9673-260D2FFEE91A}"/>
    <cellStyle name="Normal 4 2 2 2 4" xfId="805" xr:uid="{9F7FE6D4-66E8-4969-9F49-1CB3348F392C}"/>
    <cellStyle name="Normal 4 2 2 3" xfId="117" xr:uid="{00000000-0005-0000-0000-000026000000}"/>
    <cellStyle name="Normal 4 2 2 3 2" xfId="189" xr:uid="{00000000-0005-0000-0000-000026000000}"/>
    <cellStyle name="Normal 4 2 2 3 2 2" xfId="536" xr:uid="{00000000-0005-0000-0000-000026000000}"/>
    <cellStyle name="Normal 4 2 2 3 2 2 2" xfId="1135" xr:uid="{127A5DEE-B5D5-4C8D-9059-33701CF53E63}"/>
    <cellStyle name="Normal 4 2 2 3 2 3" xfId="895" xr:uid="{40D0B1D7-3D2D-43F5-8498-F046CEC07DD4}"/>
    <cellStyle name="Normal 4 2 2 3 3" xfId="464" xr:uid="{00000000-0005-0000-0000-000026000000}"/>
    <cellStyle name="Normal 4 2 2 3 3 2" xfId="1063" xr:uid="{E15DD286-BFAC-4B2A-B4AC-1AE41A3C5D4D}"/>
    <cellStyle name="Normal 4 2 2 3 4" xfId="823" xr:uid="{5916F850-7006-4A8E-A090-5ABD04571435}"/>
    <cellStyle name="Normal 4 2 2 4" xfId="78" xr:uid="{00000000-0005-0000-0000-000026000000}"/>
    <cellStyle name="Normal 4 2 2 4 2" xfId="153" xr:uid="{00000000-0005-0000-0000-000026000000}"/>
    <cellStyle name="Normal 4 2 2 4 2 2" xfId="500" xr:uid="{00000000-0005-0000-0000-000026000000}"/>
    <cellStyle name="Normal 4 2 2 4 2 2 2" xfId="1099" xr:uid="{D8FBD0DD-B7EF-499E-99AD-243861643575}"/>
    <cellStyle name="Normal 4 2 2 4 2 3" xfId="859" xr:uid="{EA344938-00BD-4288-B363-DEB8B3B7A47D}"/>
    <cellStyle name="Normal 4 2 2 4 3" xfId="429" xr:uid="{00000000-0005-0000-0000-000026000000}"/>
    <cellStyle name="Normal 4 2 2 4 3 2" xfId="1028" xr:uid="{63C50DC5-62B4-4AA4-BAAB-D9E76128E0AB}"/>
    <cellStyle name="Normal 4 2 2 4 4" xfId="787" xr:uid="{5F358A17-F9A6-45CF-9609-E1738D73B06E}"/>
    <cellStyle name="Normal 4 2 2 5" xfId="222" xr:uid="{00000000-0005-0000-0000-000026000000}"/>
    <cellStyle name="Normal 4 2 2 5 2" xfId="562" xr:uid="{00000000-0005-0000-0000-000026000000}"/>
    <cellStyle name="Normal 4 2 2 5 2 2" xfId="1159" xr:uid="{02E78156-6064-4394-9244-B766FFF60EAF}"/>
    <cellStyle name="Normal 4 2 2 5 3" xfId="920" xr:uid="{F228739B-9708-4717-8754-536ADD4D6B9A}"/>
    <cellStyle name="Normal 4 2 2 6" xfId="135" xr:uid="{00000000-0005-0000-0000-000026000000}"/>
    <cellStyle name="Normal 4 2 2 6 2" xfId="482" xr:uid="{00000000-0005-0000-0000-000026000000}"/>
    <cellStyle name="Normal 4 2 2 6 2 2" xfId="1081" xr:uid="{9629AFBA-86FF-48CC-9D91-5D35D8E78B05}"/>
    <cellStyle name="Normal 4 2 2 6 3" xfId="841" xr:uid="{7280E214-AB8A-4AE7-9382-850CB4A0861F}"/>
    <cellStyle name="Normal 4 2 2 7" xfId="667" xr:uid="{00000000-0005-0000-0000-000026000000}"/>
    <cellStyle name="Normal 4 2 2 7 2" xfId="1216" xr:uid="{CF1538A1-DE9F-498B-BB59-57C65607861B}"/>
    <cellStyle name="Normal 4 2 2 8" xfId="332" xr:uid="{00000000-0005-0000-0000-000026000000}"/>
    <cellStyle name="Normal 4 2 2 8 2" xfId="977" xr:uid="{A872770A-02C8-4B60-84AA-B7901D047D5D}"/>
    <cellStyle name="Normal 4 2 2 9" xfId="769" xr:uid="{18FE5959-B482-4FB3-90A8-FDD83A3CB3C9}"/>
    <cellStyle name="Normal 4 2 3" xfId="90" xr:uid="{00000000-0005-0000-0000-000025000000}"/>
    <cellStyle name="Normal 4 2 3 2" xfId="164" xr:uid="{00000000-0005-0000-0000-000025000000}"/>
    <cellStyle name="Normal 4 2 3 2 2" xfId="511" xr:uid="{00000000-0005-0000-0000-000025000000}"/>
    <cellStyle name="Normal 4 2 3 2 2 2" xfId="1110" xr:uid="{E1E4475A-F9F6-4D59-A2B3-BAC1B479A5EE}"/>
    <cellStyle name="Normal 4 2 3 2 3" xfId="870" xr:uid="{D75D5650-408C-40FE-8326-C5BCFA987E73}"/>
    <cellStyle name="Normal 4 2 3 3" xfId="440" xr:uid="{00000000-0005-0000-0000-000025000000}"/>
    <cellStyle name="Normal 4 2 3 3 2" xfId="1039" xr:uid="{3D84E9EF-A1DE-459D-991E-A2D168F11072}"/>
    <cellStyle name="Normal 4 2 3 4" xfId="798" xr:uid="{00CA5F69-45C8-47DC-9F39-5C13AA0B3798}"/>
    <cellStyle name="Normal 4 2 4" xfId="110" xr:uid="{00000000-0005-0000-0000-000025000000}"/>
    <cellStyle name="Normal 4 2 4 2" xfId="182" xr:uid="{00000000-0005-0000-0000-000025000000}"/>
    <cellStyle name="Normal 4 2 4 2 2" xfId="529" xr:uid="{00000000-0005-0000-0000-000025000000}"/>
    <cellStyle name="Normal 4 2 4 2 2 2" xfId="1128" xr:uid="{37BCF441-6AFF-4A2E-B9C3-5D68A66534F6}"/>
    <cellStyle name="Normal 4 2 4 2 3" xfId="888" xr:uid="{C716FA59-07B8-4F8E-A4E5-6FF0482FC7F0}"/>
    <cellStyle name="Normal 4 2 4 3" xfId="457" xr:uid="{00000000-0005-0000-0000-000025000000}"/>
    <cellStyle name="Normal 4 2 4 3 2" xfId="1056" xr:uid="{C34D7639-E207-4F87-B747-4862F5527A6F}"/>
    <cellStyle name="Normal 4 2 4 4" xfId="816" xr:uid="{33E9037F-2697-42F6-9354-3008DC5D5AAC}"/>
    <cellStyle name="Normal 4 2 5" xfId="71" xr:uid="{00000000-0005-0000-0000-000025000000}"/>
    <cellStyle name="Normal 4 2 5 2" xfId="146" xr:uid="{00000000-0005-0000-0000-000025000000}"/>
    <cellStyle name="Normal 4 2 5 2 2" xfId="493" xr:uid="{00000000-0005-0000-0000-000025000000}"/>
    <cellStyle name="Normal 4 2 5 2 2 2" xfId="1092" xr:uid="{1AE45975-F411-4AA2-B600-9C18025DF94E}"/>
    <cellStyle name="Normal 4 2 5 2 3" xfId="852" xr:uid="{7BCA5849-ED40-46D1-911D-5E40A0EE9585}"/>
    <cellStyle name="Normal 4 2 5 3" xfId="422" xr:uid="{00000000-0005-0000-0000-000025000000}"/>
    <cellStyle name="Normal 4 2 5 3 2" xfId="1021" xr:uid="{AFE69869-90D6-4531-9FAC-45F4F666FE29}"/>
    <cellStyle name="Normal 4 2 5 4" xfId="780" xr:uid="{AA70A3CA-8609-4F8F-9B12-D9963BD6B619}"/>
    <cellStyle name="Normal 4 2 6" xfId="213" xr:uid="{00000000-0005-0000-0000-000025000000}"/>
    <cellStyle name="Normal 4 2 6 2" xfId="555" xr:uid="{00000000-0005-0000-0000-000025000000}"/>
    <cellStyle name="Normal 4 2 6 2 2" xfId="1152" xr:uid="{CCA0084F-004B-4715-BA37-08847FA0F86E}"/>
    <cellStyle name="Normal 4 2 6 3" xfId="913" xr:uid="{6F7CE10D-E40C-48AF-8F98-7A1EC8847465}"/>
    <cellStyle name="Normal 4 2 7" xfId="128" xr:uid="{00000000-0005-0000-0000-000025000000}"/>
    <cellStyle name="Normal 4 2 7 2" xfId="475" xr:uid="{00000000-0005-0000-0000-000025000000}"/>
    <cellStyle name="Normal 4 2 7 2 2" xfId="1074" xr:uid="{3AEF5974-FF9E-4EC7-9914-581999B0CE1D}"/>
    <cellStyle name="Normal 4 2 7 3" xfId="834" xr:uid="{1B9EB21C-1F17-4B1C-AF85-81010D3D07B5}"/>
    <cellStyle name="Normal 4 2 8" xfId="660" xr:uid="{00000000-0005-0000-0000-000025000000}"/>
    <cellStyle name="Normal 4 2 8 2" xfId="1209" xr:uid="{432BB76F-F8CD-482E-A942-47E9DDF4702C}"/>
    <cellStyle name="Normal 4 2 9" xfId="325" xr:uid="{00000000-0005-0000-0000-000025000000}"/>
    <cellStyle name="Normal 4 2 9 2" xfId="970" xr:uid="{2F9D1797-63F3-400F-AEA6-87BDD3E5F92B}"/>
    <cellStyle name="Normal 4 3" xfId="51" xr:uid="{00000000-0005-0000-0000-000027000000}"/>
    <cellStyle name="Normal 4 3 2" xfId="95" xr:uid="{00000000-0005-0000-0000-000027000000}"/>
    <cellStyle name="Normal 4 3 2 2" xfId="169" xr:uid="{00000000-0005-0000-0000-000027000000}"/>
    <cellStyle name="Normal 4 3 2 2 2" xfId="516" xr:uid="{00000000-0005-0000-0000-000027000000}"/>
    <cellStyle name="Normal 4 3 2 2 2 2" xfId="1115" xr:uid="{7D478438-D9E3-4673-91E3-7C460E226DA0}"/>
    <cellStyle name="Normal 4 3 2 2 3" xfId="875" xr:uid="{792464A9-8C4C-4869-BB1B-CA287427DF8A}"/>
    <cellStyle name="Normal 4 3 2 3" xfId="444" xr:uid="{00000000-0005-0000-0000-000027000000}"/>
    <cellStyle name="Normal 4 3 2 3 2" xfId="1043" xr:uid="{1430CB93-32E2-471F-B32C-2AE9DC057728}"/>
    <cellStyle name="Normal 4 3 2 4" xfId="803" xr:uid="{B84BCAEF-6097-44AE-AD56-B578A53ADFBE}"/>
    <cellStyle name="Normal 4 3 3" xfId="115" xr:uid="{00000000-0005-0000-0000-000027000000}"/>
    <cellStyle name="Normal 4 3 3 2" xfId="187" xr:uid="{00000000-0005-0000-0000-000027000000}"/>
    <cellStyle name="Normal 4 3 3 2 2" xfId="534" xr:uid="{00000000-0005-0000-0000-000027000000}"/>
    <cellStyle name="Normal 4 3 3 2 2 2" xfId="1133" xr:uid="{63CB4A95-9924-4D9F-9FFE-131FB7D8C602}"/>
    <cellStyle name="Normal 4 3 3 2 3" xfId="893" xr:uid="{3F4E8F17-A3B2-407E-B7C7-B493D45073D4}"/>
    <cellStyle name="Normal 4 3 3 3" xfId="462" xr:uid="{00000000-0005-0000-0000-000027000000}"/>
    <cellStyle name="Normal 4 3 3 3 2" xfId="1061" xr:uid="{887866FB-46AD-46BF-A115-95F49F20CB36}"/>
    <cellStyle name="Normal 4 3 3 4" xfId="821" xr:uid="{9F9344A4-D3AD-483F-BC05-D78252933E45}"/>
    <cellStyle name="Normal 4 3 4" xfId="76" xr:uid="{00000000-0005-0000-0000-000027000000}"/>
    <cellStyle name="Normal 4 3 4 2" xfId="151" xr:uid="{00000000-0005-0000-0000-000027000000}"/>
    <cellStyle name="Normal 4 3 4 2 2" xfId="498" xr:uid="{00000000-0005-0000-0000-000027000000}"/>
    <cellStyle name="Normal 4 3 4 2 2 2" xfId="1097" xr:uid="{026157D1-E55E-45D3-9432-47AC24E203EA}"/>
    <cellStyle name="Normal 4 3 4 2 3" xfId="857" xr:uid="{65F67978-7759-412B-95E7-7DD277596A77}"/>
    <cellStyle name="Normal 4 3 4 3" xfId="427" xr:uid="{00000000-0005-0000-0000-000027000000}"/>
    <cellStyle name="Normal 4 3 4 3 2" xfId="1026" xr:uid="{739184EF-5725-404E-B016-7041E0C3D39E}"/>
    <cellStyle name="Normal 4 3 4 4" xfId="785" xr:uid="{FC1BEB9E-FE07-4978-A577-1FAE30BC9F88}"/>
    <cellStyle name="Normal 4 3 5" xfId="220" xr:uid="{00000000-0005-0000-0000-000027000000}"/>
    <cellStyle name="Normal 4 3 5 2" xfId="560" xr:uid="{00000000-0005-0000-0000-000027000000}"/>
    <cellStyle name="Normal 4 3 5 2 2" xfId="1157" xr:uid="{98CECFBC-C85B-4B59-A143-A367DAB85355}"/>
    <cellStyle name="Normal 4 3 5 3" xfId="918" xr:uid="{4D532EE7-EC0C-406F-A4FA-24E0B6EA9219}"/>
    <cellStyle name="Normal 4 3 6" xfId="133" xr:uid="{00000000-0005-0000-0000-000027000000}"/>
    <cellStyle name="Normal 4 3 6 2" xfId="480" xr:uid="{00000000-0005-0000-0000-000027000000}"/>
    <cellStyle name="Normal 4 3 6 2 2" xfId="1079" xr:uid="{72387101-3CE0-49C9-8797-561EBC0CE9DE}"/>
    <cellStyle name="Normal 4 3 6 3" xfId="839" xr:uid="{D7DD65FF-88E2-4209-8737-563E23172BCF}"/>
    <cellStyle name="Normal 4 3 7" xfId="665" xr:uid="{00000000-0005-0000-0000-000027000000}"/>
    <cellStyle name="Normal 4 3 7 2" xfId="1214" xr:uid="{F1F743B9-3C66-451C-96A2-A701D925F861}"/>
    <cellStyle name="Normal 4 3 8" xfId="330" xr:uid="{00000000-0005-0000-0000-000027000000}"/>
    <cellStyle name="Normal 4 3 8 2" xfId="975" xr:uid="{5CA59A5E-5ACD-47EA-A93E-00AF4700A9BE}"/>
    <cellStyle name="Normal 4 3 9" xfId="767" xr:uid="{044FFA7F-CFC8-4690-9C5C-E061A8DCA643}"/>
    <cellStyle name="Normal 4 4" xfId="88" xr:uid="{00000000-0005-0000-0000-000024000000}"/>
    <cellStyle name="Normal 4 4 2" xfId="162" xr:uid="{00000000-0005-0000-0000-000024000000}"/>
    <cellStyle name="Normal 4 4 2 2" xfId="509" xr:uid="{00000000-0005-0000-0000-000024000000}"/>
    <cellStyle name="Normal 4 4 2 2 2" xfId="1108" xr:uid="{6867A610-FF29-471D-A044-E65CC8E75F49}"/>
    <cellStyle name="Normal 4 4 2 3" xfId="868" xr:uid="{A023B13E-1E1D-4144-A164-E5BDEDAE1294}"/>
    <cellStyle name="Normal 4 4 3" xfId="438" xr:uid="{00000000-0005-0000-0000-000024000000}"/>
    <cellStyle name="Normal 4 4 3 2" xfId="1037" xr:uid="{85F0FB2F-0124-4FE6-A317-AA237FDF0C0D}"/>
    <cellStyle name="Normal 4 4 4" xfId="796" xr:uid="{0D23949C-BD31-4706-B480-49CD3917EA9B}"/>
    <cellStyle name="Normal 4 5" xfId="108" xr:uid="{00000000-0005-0000-0000-000024000000}"/>
    <cellStyle name="Normal 4 5 2" xfId="180" xr:uid="{00000000-0005-0000-0000-000024000000}"/>
    <cellStyle name="Normal 4 5 2 2" xfId="527" xr:uid="{00000000-0005-0000-0000-000024000000}"/>
    <cellStyle name="Normal 4 5 2 2 2" xfId="1126" xr:uid="{8BF04FD4-4694-4BDA-857E-E9032616EC82}"/>
    <cellStyle name="Normal 4 5 2 3" xfId="886" xr:uid="{6A8869CC-AD92-4C5A-866A-AF245E82C991}"/>
    <cellStyle name="Normal 4 5 3" xfId="455" xr:uid="{00000000-0005-0000-0000-000024000000}"/>
    <cellStyle name="Normal 4 5 3 2" xfId="1054" xr:uid="{246AE950-145E-44D1-B5EC-E96BA7C77E2A}"/>
    <cellStyle name="Normal 4 5 4" xfId="814" xr:uid="{4B0862AD-71A2-45B9-B3FD-92DD9177D786}"/>
    <cellStyle name="Normal 4 6" xfId="69" xr:uid="{00000000-0005-0000-0000-000024000000}"/>
    <cellStyle name="Normal 4 6 2" xfId="144" xr:uid="{00000000-0005-0000-0000-000024000000}"/>
    <cellStyle name="Normal 4 6 2 2" xfId="491" xr:uid="{00000000-0005-0000-0000-000024000000}"/>
    <cellStyle name="Normal 4 6 2 2 2" xfId="1090" xr:uid="{C396E3C8-7A10-4A37-B2D5-A033B6017A67}"/>
    <cellStyle name="Normal 4 6 2 3" xfId="850" xr:uid="{92B8BCF1-3B09-45E4-8FB4-AEDB54872865}"/>
    <cellStyle name="Normal 4 6 3" xfId="420" xr:uid="{00000000-0005-0000-0000-000024000000}"/>
    <cellStyle name="Normal 4 6 3 2" xfId="1019" xr:uid="{DFE4F780-7BB1-4728-8401-7816F58F611C}"/>
    <cellStyle name="Normal 4 6 4" xfId="778" xr:uid="{01326D91-A425-4BC3-BD73-06F4E07CF1E3}"/>
    <cellStyle name="Normal 4 7" xfId="211" xr:uid="{00000000-0005-0000-0000-000024000000}"/>
    <cellStyle name="Normal 4 7 2" xfId="553" xr:uid="{00000000-0005-0000-0000-000024000000}"/>
    <cellStyle name="Normal 4 7 2 2" xfId="1150" xr:uid="{DDC0E3FD-44AC-4CDF-81F1-AD1DD0E19E3C}"/>
    <cellStyle name="Normal 4 7 3" xfId="911" xr:uid="{DC0F5FDD-6891-4DF5-99C5-0F1F5241CE8A}"/>
    <cellStyle name="Normal 4 8" xfId="126" xr:uid="{00000000-0005-0000-0000-000024000000}"/>
    <cellStyle name="Normal 4 8 2" xfId="473" xr:uid="{00000000-0005-0000-0000-000024000000}"/>
    <cellStyle name="Normal 4 8 2 2" xfId="1072" xr:uid="{AE7C8A0E-8853-495F-9690-9D7E6E108D63}"/>
    <cellStyle name="Normal 4 8 3" xfId="832" xr:uid="{9A5A14C5-D743-4FEB-A5D0-3FFEF4FB1168}"/>
    <cellStyle name="Normal 4 9" xfId="658" xr:uid="{00000000-0005-0000-0000-000024000000}"/>
    <cellStyle name="Normal 4 9 2" xfId="1207" xr:uid="{F39D9E78-5BC3-46EE-AC3B-E5397D6196E1}"/>
    <cellStyle name="Normal 5" xfId="57" xr:uid="{00000000-0005-0000-0000-000028000000}"/>
    <cellStyle name="Normal 5 2" xfId="101" xr:uid="{00000000-0005-0000-0000-000028000000}"/>
    <cellStyle name="Normal 5 2 2" xfId="175" xr:uid="{00000000-0005-0000-0000-000028000000}"/>
    <cellStyle name="Normal 5 2 2 2" xfId="522" xr:uid="{00000000-0005-0000-0000-000028000000}"/>
    <cellStyle name="Normal 5 2 2 2 2" xfId="1121" xr:uid="{4280B319-4936-4F88-8A90-CAD1BF64429B}"/>
    <cellStyle name="Normal 5 2 2 3" xfId="881" xr:uid="{564096D6-FA31-43FD-BA99-FD0E5CCC47D0}"/>
    <cellStyle name="Normal 5 2 3" xfId="450" xr:uid="{00000000-0005-0000-0000-000028000000}"/>
    <cellStyle name="Normal 5 2 3 2" xfId="1049" xr:uid="{946D1A21-F1E7-4178-B8C3-A64432328EDE}"/>
    <cellStyle name="Normal 5 2 4" xfId="809" xr:uid="{CDA940DF-7A5A-4FF2-B325-FAD6E56B1613}"/>
    <cellStyle name="Normal 5 3" xfId="121" xr:uid="{00000000-0005-0000-0000-000028000000}"/>
    <cellStyle name="Normal 5 3 2" xfId="193" xr:uid="{00000000-0005-0000-0000-000028000000}"/>
    <cellStyle name="Normal 5 3 2 2" xfId="540" xr:uid="{00000000-0005-0000-0000-000028000000}"/>
    <cellStyle name="Normal 5 3 2 2 2" xfId="1139" xr:uid="{BF1FFDF4-E815-4E05-8A7A-12B692F8E5F4}"/>
    <cellStyle name="Normal 5 3 2 3" xfId="899" xr:uid="{BB62935C-10D5-44ED-8E79-C259A95F3CCD}"/>
    <cellStyle name="Normal 5 3 3" xfId="468" xr:uid="{00000000-0005-0000-0000-000028000000}"/>
    <cellStyle name="Normal 5 3 3 2" xfId="1067" xr:uid="{C6229AE4-08ED-458D-A22D-5305544B0AD9}"/>
    <cellStyle name="Normal 5 3 4" xfId="827" xr:uid="{2AF2538D-EA25-47AA-BB0A-3A1010250A8D}"/>
    <cellStyle name="Normal 5 4" xfId="82" xr:uid="{00000000-0005-0000-0000-000028000000}"/>
    <cellStyle name="Normal 5 4 2" xfId="157" xr:uid="{00000000-0005-0000-0000-000028000000}"/>
    <cellStyle name="Normal 5 4 2 2" xfId="504" xr:uid="{00000000-0005-0000-0000-000028000000}"/>
    <cellStyle name="Normal 5 4 2 2 2" xfId="1103" xr:uid="{FCB9FFD3-6385-4810-BEDC-3D5F531F85C5}"/>
    <cellStyle name="Normal 5 4 2 3" xfId="863" xr:uid="{27EBC299-A7EE-4DFA-9E3D-BBD5AA0C51B4}"/>
    <cellStyle name="Normal 5 4 3" xfId="433" xr:uid="{00000000-0005-0000-0000-000028000000}"/>
    <cellStyle name="Normal 5 4 3 2" xfId="1032" xr:uid="{11442FCD-398B-4EBE-AE3F-3997D15871DD}"/>
    <cellStyle name="Normal 5 4 4" xfId="791" xr:uid="{7555DF9E-87F0-46F4-B0E6-6FAD86C11971}"/>
    <cellStyle name="Normal 5 5" xfId="225" xr:uid="{00000000-0005-0000-0000-000028000000}"/>
    <cellStyle name="Normal 5 5 2" xfId="565" xr:uid="{00000000-0005-0000-0000-000028000000}"/>
    <cellStyle name="Normal 5 5 2 2" xfId="1162" xr:uid="{1AAA7F0D-2107-45DA-8265-2020AF6ED020}"/>
    <cellStyle name="Normal 5 5 3" xfId="923" xr:uid="{0003A6C2-2DB3-4398-B133-32F6E259C975}"/>
    <cellStyle name="Normal 5 6" xfId="139" xr:uid="{00000000-0005-0000-0000-000028000000}"/>
    <cellStyle name="Normal 5 6 2" xfId="486" xr:uid="{00000000-0005-0000-0000-000028000000}"/>
    <cellStyle name="Normal 5 6 2 2" xfId="1085" xr:uid="{891EBD64-2AA1-4A23-B17D-DCBC14E08881}"/>
    <cellStyle name="Normal 5 6 3" xfId="845" xr:uid="{2355C028-3F7A-4FE6-BC10-F8719DEA9CCA}"/>
    <cellStyle name="Normal 5 7" xfId="670" xr:uid="{00000000-0005-0000-0000-000028000000}"/>
    <cellStyle name="Normal 5 7 2" xfId="1219" xr:uid="{73790D69-F196-44E1-8344-1F63C6CE468D}"/>
    <cellStyle name="Normal 5 8" xfId="335" xr:uid="{00000000-0005-0000-0000-000028000000}"/>
    <cellStyle name="Normal 5 8 2" xfId="980" xr:uid="{41ECFF65-6231-4493-8BBE-4A05AD8BC1D2}"/>
    <cellStyle name="Normal 5 9" xfId="773" xr:uid="{6A69A306-349E-4677-BE5A-FE1BD0468825}"/>
    <cellStyle name="Normal 6" xfId="59" xr:uid="{00000000-0005-0000-0000-000029000000}"/>
    <cellStyle name="Normal 6 2" xfId="102" xr:uid="{00000000-0005-0000-0000-000029000000}"/>
    <cellStyle name="Normal 6 3" xfId="83" xr:uid="{00000000-0005-0000-0000-000029000000}"/>
    <cellStyle name="PP_Factors" xfId="36" xr:uid="{00000000-0005-0000-0000-00002A000000}"/>
    <cellStyle name="Price" xfId="1" xr:uid="{00000000-0005-0000-0000-00002B000000}"/>
    <cellStyle name="Qty" xfId="37" xr:uid="{00000000-0005-0000-0000-00002C000000}"/>
    <cellStyle name="SHOW_HIDDEN" xfId="38" xr:uid="{00000000-0005-0000-0000-00002D000000}"/>
    <cellStyle name="SubTotal" xfId="39" xr:uid="{00000000-0005-0000-0000-00002E000000}"/>
    <cellStyle name="Summa" xfId="40" xr:uid="{00000000-0005-0000-0000-00002F000000}"/>
    <cellStyle name="text" xfId="41" xr:uid="{00000000-0005-0000-0000-000030000000}"/>
    <cellStyle name="visible" xfId="44" xr:uid="{00000000-0005-0000-0000-000031000000}"/>
    <cellStyle name="zwischentotal" xfId="45" xr:uid="{00000000-0005-0000-0000-000032000000}"/>
    <cellStyle name="Гиперссылка 2" xfId="30" xr:uid="{00000000-0005-0000-0000-000033000000}"/>
    <cellStyle name="Денежный" xfId="66" builtinId="4"/>
    <cellStyle name="Денежный 10" xfId="649" xr:uid="{00000000-0005-0000-0000-00006E010000}"/>
    <cellStyle name="Денежный 10 2" xfId="1200" xr:uid="{D851D275-6783-4310-A996-AC1F17A7BB77}"/>
    <cellStyle name="Денежный 11" xfId="418" xr:uid="{00000000-0005-0000-0000-000022010000}"/>
    <cellStyle name="Денежный 11 2" xfId="1017" xr:uid="{55448E4A-C7B0-46F7-863D-6E63B3276FAF}"/>
    <cellStyle name="Денежный 12" xfId="314" xr:uid="{00000000-0005-0000-0000-0000BF010000}"/>
    <cellStyle name="Денежный 12 2" xfId="961" xr:uid="{D21E5C13-18E5-4054-A280-1D9B546CF729}"/>
    <cellStyle name="Денежный 13" xfId="776" xr:uid="{34B6924D-A46C-4A76-BDBC-AFB04824B96A}"/>
    <cellStyle name="Денежный 2" xfId="21" xr:uid="{00000000-0005-0000-0000-000034000000}"/>
    <cellStyle name="Денежный 2 2" xfId="214" xr:uid="{00000000-0005-0000-0000-000034000000}"/>
    <cellStyle name="Денежный 2 3" xfId="235" xr:uid="{03E3F6F0-BBA6-4054-8AF2-FDF310C0B26A}"/>
    <cellStyle name="Денежный 2 3 2" xfId="249" xr:uid="{03E3F6F0-BBA6-4054-8AF2-FDF310C0B26A}"/>
    <cellStyle name="Денежный 2 3 2 2" xfId="279" xr:uid="{03E3F6F0-BBA6-4054-8AF2-FDF310C0B26A}"/>
    <cellStyle name="Денежный 2 3 2 2 2" xfId="719" xr:uid="{03E3F6F0-BBA6-4054-8AF2-FDF310C0B26A}"/>
    <cellStyle name="Денежный 2 3 2 2 2 2" xfId="1242" xr:uid="{EFCD4C1B-3197-4935-8200-74E7396EC00E}"/>
    <cellStyle name="Денежный 2 3 2 2 3" xfId="614" xr:uid="{03E3F6F0-BBA6-4054-8AF2-FDF310C0B26A}"/>
    <cellStyle name="Денежный 2 3 2 2 3 2" xfId="1185" xr:uid="{C3890F93-F6B1-4C72-9D84-85A3DEC0AE78}"/>
    <cellStyle name="Денежный 2 3 2 2 4" xfId="384" xr:uid="{03E3F6F0-BBA6-4054-8AF2-FDF310C0B26A}"/>
    <cellStyle name="Денежный 2 3 2 2 4 2" xfId="1003" xr:uid="{F21A350C-7BD3-495B-BB42-0C30F13051E9}"/>
    <cellStyle name="Денежный 2 3 2 2 5" xfId="946" xr:uid="{80336326-47E6-4918-80A3-193E97641665}"/>
    <cellStyle name="Денежный 2 3 2 3" xfId="307" xr:uid="{03E3F6F0-BBA6-4054-8AF2-FDF310C0B26A}"/>
    <cellStyle name="Денежный 2 3 2 3 2" xfId="747" xr:uid="{03E3F6F0-BBA6-4054-8AF2-FDF310C0B26A}"/>
    <cellStyle name="Денежный 2 3 2 3 2 2" xfId="1254" xr:uid="{4BBEB14A-90AE-4A7F-8593-D055C9CA3345}"/>
    <cellStyle name="Денежный 2 3 2 3 3" xfId="642" xr:uid="{03E3F6F0-BBA6-4054-8AF2-FDF310C0B26A}"/>
    <cellStyle name="Денежный 2 3 2 3 3 2" xfId="1197" xr:uid="{5A77056F-9FED-49F6-AD91-C83A015F7260}"/>
    <cellStyle name="Денежный 2 3 2 3 4" xfId="412" xr:uid="{03E3F6F0-BBA6-4054-8AF2-FDF310C0B26A}"/>
    <cellStyle name="Денежный 2 3 2 3 4 2" xfId="1015" xr:uid="{1831D491-2465-4819-86EF-3688EB0C83E1}"/>
    <cellStyle name="Денежный 2 3 2 3 5" xfId="958" xr:uid="{71ED0EB7-561B-4FAC-A691-BC91950BE8C6}"/>
    <cellStyle name="Денежный 2 3 2 4" xfId="691" xr:uid="{03E3F6F0-BBA6-4054-8AF2-FDF310C0B26A}"/>
    <cellStyle name="Денежный 2 3 2 4 2" xfId="1230" xr:uid="{E2319C02-D608-422B-A66E-6A8A142F6FB3}"/>
    <cellStyle name="Денежный 2 3 2 5" xfId="586" xr:uid="{03E3F6F0-BBA6-4054-8AF2-FDF310C0B26A}"/>
    <cellStyle name="Денежный 2 3 2 5 2" xfId="1173" xr:uid="{FE99E94F-5B9F-493B-9827-4997358DAF22}"/>
    <cellStyle name="Денежный 2 3 2 6" xfId="356" xr:uid="{03E3F6F0-BBA6-4054-8AF2-FDF310C0B26A}"/>
    <cellStyle name="Денежный 2 3 2 6 2" xfId="991" xr:uid="{2E92EEA6-BE74-424E-9BEC-BAAFE49A155C}"/>
    <cellStyle name="Денежный 2 3 2 7" xfId="934" xr:uid="{BA10B6C4-95EE-41A4-B7D8-1165FD3F1A38}"/>
    <cellStyle name="Денежный 2 3 3" xfId="263" xr:uid="{03E3F6F0-BBA6-4054-8AF2-FDF310C0B26A}"/>
    <cellStyle name="Денежный 2 3 3 2" xfId="705" xr:uid="{03E3F6F0-BBA6-4054-8AF2-FDF310C0B26A}"/>
    <cellStyle name="Денежный 2 3 3 2 2" xfId="1236" xr:uid="{11E43DB2-E767-4C2F-93E9-3FB95196061F}"/>
    <cellStyle name="Денежный 2 3 3 3" xfId="600" xr:uid="{03E3F6F0-BBA6-4054-8AF2-FDF310C0B26A}"/>
    <cellStyle name="Денежный 2 3 3 3 2" xfId="1179" xr:uid="{2D2856EB-D7AC-4029-9117-9E3BDF086E6C}"/>
    <cellStyle name="Денежный 2 3 3 4" xfId="370" xr:uid="{03E3F6F0-BBA6-4054-8AF2-FDF310C0B26A}"/>
    <cellStyle name="Денежный 2 3 3 4 2" xfId="997" xr:uid="{242B5ED8-36A1-4FE9-8F09-70A0AC157F3F}"/>
    <cellStyle name="Денежный 2 3 3 5" xfId="940" xr:uid="{E3884830-D7AA-442E-B369-D75855D3DB40}"/>
    <cellStyle name="Денежный 2 3 4" xfId="293" xr:uid="{03E3F6F0-BBA6-4054-8AF2-FDF310C0B26A}"/>
    <cellStyle name="Денежный 2 3 4 2" xfId="733" xr:uid="{03E3F6F0-BBA6-4054-8AF2-FDF310C0B26A}"/>
    <cellStyle name="Денежный 2 3 4 2 2" xfId="1248" xr:uid="{929DFBBB-B468-4BCD-8263-FD5B1D05C3F9}"/>
    <cellStyle name="Денежный 2 3 4 3" xfId="628" xr:uid="{03E3F6F0-BBA6-4054-8AF2-FDF310C0B26A}"/>
    <cellStyle name="Денежный 2 3 4 3 2" xfId="1191" xr:uid="{2650778D-CBFA-4C69-A3FB-A6CFC2573C9F}"/>
    <cellStyle name="Денежный 2 3 4 4" xfId="398" xr:uid="{03E3F6F0-BBA6-4054-8AF2-FDF310C0B26A}"/>
    <cellStyle name="Денежный 2 3 4 4 2" xfId="1009" xr:uid="{5DD3CBA1-BA55-4092-BD25-995BF3AEEC33}"/>
    <cellStyle name="Денежный 2 3 4 5" xfId="952" xr:uid="{CA702019-9CE3-4177-AE48-DB90336F49E7}"/>
    <cellStyle name="Денежный 2 3 5" xfId="677" xr:uid="{03E3F6F0-BBA6-4054-8AF2-FDF310C0B26A}"/>
    <cellStyle name="Денежный 2 3 5 2" xfId="1224" xr:uid="{475455F0-EF44-4C4C-A4DA-03470F4E7435}"/>
    <cellStyle name="Денежный 2 3 6" xfId="572" xr:uid="{03E3F6F0-BBA6-4054-8AF2-FDF310C0B26A}"/>
    <cellStyle name="Денежный 2 3 6 2" xfId="1167" xr:uid="{6EEB88ED-E93A-4F04-BB27-70E9175363AC}"/>
    <cellStyle name="Денежный 2 3 7" xfId="342" xr:uid="{03E3F6F0-BBA6-4054-8AF2-FDF310C0B26A}"/>
    <cellStyle name="Денежный 2 3 7 2" xfId="985" xr:uid="{E632CB58-D20E-498B-9661-B0718CC84763}"/>
    <cellStyle name="Денежный 2 3 8" xfId="928" xr:uid="{D73A459A-EF38-41CA-8757-454F1DD276C0}"/>
    <cellStyle name="Денежный 2 4" xfId="242" xr:uid="{03E3F6F0-BBA6-4054-8AF2-FDF310C0B26A}"/>
    <cellStyle name="Денежный 2 4 2" xfId="272" xr:uid="{03E3F6F0-BBA6-4054-8AF2-FDF310C0B26A}"/>
    <cellStyle name="Денежный 2 4 2 2" xfId="712" xr:uid="{03E3F6F0-BBA6-4054-8AF2-FDF310C0B26A}"/>
    <cellStyle name="Денежный 2 4 2 2 2" xfId="1239" xr:uid="{A3EAB827-077D-4AAA-8477-F436EFEDDEF8}"/>
    <cellStyle name="Денежный 2 4 2 3" xfId="607" xr:uid="{03E3F6F0-BBA6-4054-8AF2-FDF310C0B26A}"/>
    <cellStyle name="Денежный 2 4 2 3 2" xfId="1182" xr:uid="{B55A94CD-9E55-4ACC-89B2-7D5E7CACEDBE}"/>
    <cellStyle name="Денежный 2 4 2 4" xfId="377" xr:uid="{03E3F6F0-BBA6-4054-8AF2-FDF310C0B26A}"/>
    <cellStyle name="Денежный 2 4 2 4 2" xfId="1000" xr:uid="{56E96E36-8F69-4677-A231-87F7CF4C7C9D}"/>
    <cellStyle name="Денежный 2 4 2 5" xfId="943" xr:uid="{9976F672-BD72-4466-BCE6-45AABCF5FA9D}"/>
    <cellStyle name="Денежный 2 4 3" xfId="300" xr:uid="{03E3F6F0-BBA6-4054-8AF2-FDF310C0B26A}"/>
    <cellStyle name="Денежный 2 4 3 2" xfId="740" xr:uid="{03E3F6F0-BBA6-4054-8AF2-FDF310C0B26A}"/>
    <cellStyle name="Денежный 2 4 3 2 2" xfId="1251" xr:uid="{ACF5979A-1216-4191-A75C-2EE77D9BCFCA}"/>
    <cellStyle name="Денежный 2 4 3 3" xfId="635" xr:uid="{03E3F6F0-BBA6-4054-8AF2-FDF310C0B26A}"/>
    <cellStyle name="Денежный 2 4 3 3 2" xfId="1194" xr:uid="{FE2F1900-C59F-4BDC-BC6B-A23848302C44}"/>
    <cellStyle name="Денежный 2 4 3 4" xfId="405" xr:uid="{03E3F6F0-BBA6-4054-8AF2-FDF310C0B26A}"/>
    <cellStyle name="Денежный 2 4 3 4 2" xfId="1012" xr:uid="{78D7F0E6-F849-40B1-9B02-B84F9683CED0}"/>
    <cellStyle name="Денежный 2 4 3 5" xfId="955" xr:uid="{82F00D8E-09B1-43C7-8CDF-8EA2F62BECC8}"/>
    <cellStyle name="Денежный 2 4 4" xfId="684" xr:uid="{03E3F6F0-BBA6-4054-8AF2-FDF310C0B26A}"/>
    <cellStyle name="Денежный 2 4 4 2" xfId="1227" xr:uid="{75034334-8313-4521-B676-1399552DE92B}"/>
    <cellStyle name="Денежный 2 4 5" xfId="579" xr:uid="{03E3F6F0-BBA6-4054-8AF2-FDF310C0B26A}"/>
    <cellStyle name="Денежный 2 4 5 2" xfId="1170" xr:uid="{05BC9D99-1D8C-4FC0-A48E-20085F368B05}"/>
    <cellStyle name="Денежный 2 4 6" xfId="349" xr:uid="{03E3F6F0-BBA6-4054-8AF2-FDF310C0B26A}"/>
    <cellStyle name="Денежный 2 4 6 2" xfId="988" xr:uid="{B0D97F64-9E50-4520-BB7B-9783A67A8489}"/>
    <cellStyle name="Денежный 2 4 7" xfId="931" xr:uid="{A7CB0479-2366-4A21-A9EE-CE84423482FA}"/>
    <cellStyle name="Денежный 2 5" xfId="256" xr:uid="{03E3F6F0-BBA6-4054-8AF2-FDF310C0B26A}"/>
    <cellStyle name="Денежный 2 5 2" xfId="698" xr:uid="{03E3F6F0-BBA6-4054-8AF2-FDF310C0B26A}"/>
    <cellStyle name="Денежный 2 5 2 2" xfId="1233" xr:uid="{2A62AF2E-E23D-4F5E-85FB-076DFD094715}"/>
    <cellStyle name="Денежный 2 5 3" xfId="593" xr:uid="{03E3F6F0-BBA6-4054-8AF2-FDF310C0B26A}"/>
    <cellStyle name="Денежный 2 5 3 2" xfId="1176" xr:uid="{D22FB2FA-1442-4542-BB00-681D6EAB7DC5}"/>
    <cellStyle name="Денежный 2 5 4" xfId="363" xr:uid="{03E3F6F0-BBA6-4054-8AF2-FDF310C0B26A}"/>
    <cellStyle name="Денежный 2 5 4 2" xfId="994" xr:uid="{4004827A-0B39-4272-9C93-DD9C698561FB}"/>
    <cellStyle name="Денежный 2 5 5" xfId="937" xr:uid="{25A11C25-7FFA-46BE-9D9D-473FB2CF4D00}"/>
    <cellStyle name="Денежный 2 6" xfId="286" xr:uid="{03E3F6F0-BBA6-4054-8AF2-FDF310C0B26A}"/>
    <cellStyle name="Денежный 2 6 2" xfId="726" xr:uid="{03E3F6F0-BBA6-4054-8AF2-FDF310C0B26A}"/>
    <cellStyle name="Денежный 2 6 2 2" xfId="1245" xr:uid="{B6B4D431-99B1-42E8-9A80-42BFE66A1DE0}"/>
    <cellStyle name="Денежный 2 6 3" xfId="621" xr:uid="{03E3F6F0-BBA6-4054-8AF2-FDF310C0B26A}"/>
    <cellStyle name="Денежный 2 6 3 2" xfId="1188" xr:uid="{C94245B0-4606-4D95-9DBF-0CAB86F47199}"/>
    <cellStyle name="Денежный 2 6 4" xfId="391" xr:uid="{03E3F6F0-BBA6-4054-8AF2-FDF310C0B26A}"/>
    <cellStyle name="Денежный 2 6 4 2" xfId="1006" xr:uid="{ED7A0C07-90BB-4A9D-836B-C3016FFDA199}"/>
    <cellStyle name="Денежный 2 6 5" xfId="949" xr:uid="{FE5E67D7-6141-4400-80E3-BB27FF9A7761}"/>
    <cellStyle name="Денежный 2 7" xfId="201" xr:uid="{03E3F6F0-BBA6-4054-8AF2-FDF310C0B26A}"/>
    <cellStyle name="Денежный 2 7 2" xfId="547" xr:uid="{03E3F6F0-BBA6-4054-8AF2-FDF310C0B26A}"/>
    <cellStyle name="Денежный 2 7 2 2" xfId="1146" xr:uid="{4B166732-CCCB-4D7F-A7B2-9738483D7B98}"/>
    <cellStyle name="Денежный 2 7 3" xfId="906" xr:uid="{8D193FE9-7BFE-4C44-B217-5C7C20C3D7B8}"/>
    <cellStyle name="Денежный 2 8" xfId="651" xr:uid="{03E3F6F0-BBA6-4054-8AF2-FDF310C0B26A}"/>
    <cellStyle name="Денежный 2 8 2" xfId="1202" xr:uid="{D6D65A12-5E80-47C0-BACD-5B48E8EC4343}"/>
    <cellStyle name="Денежный 2 9" xfId="316" xr:uid="{03E3F6F0-BBA6-4054-8AF2-FDF310C0B26A}"/>
    <cellStyle name="Денежный 2 9 2" xfId="963" xr:uid="{A57F9014-E4CB-487B-8AFC-2E3E012B1B26}"/>
    <cellStyle name="Денежный 3" xfId="105" xr:uid="{00000000-0005-0000-0000-00007A000000}"/>
    <cellStyle name="Денежный 3 10" xfId="339" xr:uid="{00000000-0005-0000-0000-000062000000}"/>
    <cellStyle name="Денежный 3 10 2" xfId="982" xr:uid="{98E2AC34-A03C-452C-918D-7682F9705419}"/>
    <cellStyle name="Денежный 3 11" xfId="812" xr:uid="{29AB3BA1-BE48-4E2F-AA6B-F5B4B4E281DC}"/>
    <cellStyle name="Денежный 3 2" xfId="240" xr:uid="{00000000-0005-0000-0000-000062000000}"/>
    <cellStyle name="Денежный 3 2 2" xfId="254" xr:uid="{00000000-0005-0000-0000-000062000000}"/>
    <cellStyle name="Денежный 3 2 2 2" xfId="284" xr:uid="{00000000-0005-0000-0000-000062000000}"/>
    <cellStyle name="Денежный 3 2 2 2 2" xfId="724" xr:uid="{00000000-0005-0000-0000-000062000000}"/>
    <cellStyle name="Денежный 3 2 2 2 2 2" xfId="1243" xr:uid="{9969C619-53A5-46D3-81DF-42B92DBB8FEF}"/>
    <cellStyle name="Денежный 3 2 2 2 3" xfId="619" xr:uid="{00000000-0005-0000-0000-000062000000}"/>
    <cellStyle name="Денежный 3 2 2 2 3 2" xfId="1186" xr:uid="{B5CBA246-25A0-407E-A2BE-853F5F81FF2D}"/>
    <cellStyle name="Денежный 3 2 2 2 4" xfId="389" xr:uid="{00000000-0005-0000-0000-000062000000}"/>
    <cellStyle name="Денежный 3 2 2 2 4 2" xfId="1004" xr:uid="{257B9940-ACA1-4891-BB0B-FD9A8E0C2091}"/>
    <cellStyle name="Денежный 3 2 2 2 5" xfId="947" xr:uid="{6B1D9FDF-86C0-406C-92D1-8A9613EC0C0A}"/>
    <cellStyle name="Денежный 3 2 2 3" xfId="312" xr:uid="{00000000-0005-0000-0000-000062000000}"/>
    <cellStyle name="Денежный 3 2 2 3 2" xfId="752" xr:uid="{00000000-0005-0000-0000-000062000000}"/>
    <cellStyle name="Денежный 3 2 2 3 2 2" xfId="1255" xr:uid="{8CA82A77-300A-420E-A4D3-FE7906AF1B7F}"/>
    <cellStyle name="Денежный 3 2 2 3 3" xfId="647" xr:uid="{00000000-0005-0000-0000-000062000000}"/>
    <cellStyle name="Денежный 3 2 2 3 3 2" xfId="1198" xr:uid="{90E4C223-70E5-4413-821B-0CDD3DF0E2B7}"/>
    <cellStyle name="Денежный 3 2 2 3 4" xfId="417" xr:uid="{00000000-0005-0000-0000-000062000000}"/>
    <cellStyle name="Денежный 3 2 2 3 4 2" xfId="1016" xr:uid="{57689B04-B1CE-477A-9E2B-519D50162550}"/>
    <cellStyle name="Денежный 3 2 2 3 5" xfId="959" xr:uid="{7A740E44-ECDB-4539-85BE-AA078959DF37}"/>
    <cellStyle name="Денежный 3 2 2 4" xfId="696" xr:uid="{00000000-0005-0000-0000-000062000000}"/>
    <cellStyle name="Денежный 3 2 2 4 2" xfId="1231" xr:uid="{46A3F6C7-FEB9-4C59-836E-45827FE2BFC5}"/>
    <cellStyle name="Денежный 3 2 2 5" xfId="591" xr:uid="{00000000-0005-0000-0000-000062000000}"/>
    <cellStyle name="Денежный 3 2 2 5 2" xfId="1174" xr:uid="{F13A9D16-09AD-4487-9210-BCED6E8ABD12}"/>
    <cellStyle name="Денежный 3 2 2 6" xfId="361" xr:uid="{00000000-0005-0000-0000-000062000000}"/>
    <cellStyle name="Денежный 3 2 2 6 2" xfId="992" xr:uid="{A5DB135B-FC1A-4FA2-A200-85E886F3EE99}"/>
    <cellStyle name="Денежный 3 2 2 7" xfId="935" xr:uid="{6F183D77-CB66-4AB9-B2D2-FBD1318B3456}"/>
    <cellStyle name="Денежный 3 2 3" xfId="268" xr:uid="{00000000-0005-0000-0000-000062000000}"/>
    <cellStyle name="Денежный 3 2 3 2" xfId="710" xr:uid="{00000000-0005-0000-0000-000062000000}"/>
    <cellStyle name="Денежный 3 2 3 2 2" xfId="1237" xr:uid="{6C323DCA-1752-461B-81C3-720B4DF8B366}"/>
    <cellStyle name="Денежный 3 2 3 3" xfId="605" xr:uid="{00000000-0005-0000-0000-000062000000}"/>
    <cellStyle name="Денежный 3 2 3 3 2" xfId="1180" xr:uid="{D6964AFC-BFF2-4689-BC42-AAB3D08315E2}"/>
    <cellStyle name="Денежный 3 2 3 4" xfId="375" xr:uid="{00000000-0005-0000-0000-000062000000}"/>
    <cellStyle name="Денежный 3 2 3 4 2" xfId="998" xr:uid="{9B6FED62-8058-4217-899F-6D7516B97D69}"/>
    <cellStyle name="Денежный 3 2 3 5" xfId="941" xr:uid="{FE9201B3-DA7E-45C7-BD15-23611300F98D}"/>
    <cellStyle name="Денежный 3 2 4" xfId="298" xr:uid="{00000000-0005-0000-0000-000062000000}"/>
    <cellStyle name="Денежный 3 2 4 2" xfId="738" xr:uid="{00000000-0005-0000-0000-000062000000}"/>
    <cellStyle name="Денежный 3 2 4 2 2" xfId="1249" xr:uid="{798F3AC0-EB2B-4BF8-B4F5-FD7D9DEA19A5}"/>
    <cellStyle name="Денежный 3 2 4 3" xfId="633" xr:uid="{00000000-0005-0000-0000-000062000000}"/>
    <cellStyle name="Денежный 3 2 4 3 2" xfId="1192" xr:uid="{F628FD2F-25BF-49B7-A76F-4787C8DBD102}"/>
    <cellStyle name="Денежный 3 2 4 4" xfId="403" xr:uid="{00000000-0005-0000-0000-000062000000}"/>
    <cellStyle name="Денежный 3 2 4 4 2" xfId="1010" xr:uid="{404D0383-ED23-4118-B5F5-943E08CBF3A9}"/>
    <cellStyle name="Денежный 3 2 4 5" xfId="953" xr:uid="{6A1EC17F-0246-40A2-BDF8-256CAF82DFFC}"/>
    <cellStyle name="Денежный 3 2 5" xfId="682" xr:uid="{00000000-0005-0000-0000-000062000000}"/>
    <cellStyle name="Денежный 3 2 5 2" xfId="1225" xr:uid="{32C9C0D5-62AC-4B0F-9F56-9DAED70C29F9}"/>
    <cellStyle name="Денежный 3 2 6" xfId="577" xr:uid="{00000000-0005-0000-0000-000062000000}"/>
    <cellStyle name="Денежный 3 2 6 2" xfId="1168" xr:uid="{B3F1DDFE-E0B4-4DF9-948A-985A7262D946}"/>
    <cellStyle name="Денежный 3 2 7" xfId="347" xr:uid="{00000000-0005-0000-0000-000062000000}"/>
    <cellStyle name="Денежный 3 2 7 2" xfId="986" xr:uid="{CF87580B-6623-4D59-9A4A-2D5C3C8D4FE0}"/>
    <cellStyle name="Денежный 3 2 8" xfId="929" xr:uid="{016C3E50-FAA3-45F6-A438-4251C39DBD26}"/>
    <cellStyle name="Денежный 3 3" xfId="247" xr:uid="{00000000-0005-0000-0000-000062000000}"/>
    <cellStyle name="Денежный 3 3 2" xfId="277" xr:uid="{00000000-0005-0000-0000-000062000000}"/>
    <cellStyle name="Денежный 3 3 2 2" xfId="717" xr:uid="{00000000-0005-0000-0000-000062000000}"/>
    <cellStyle name="Денежный 3 3 2 2 2" xfId="1240" xr:uid="{E1CFBFFC-41AC-4EA8-B60A-E4A37C5CF619}"/>
    <cellStyle name="Денежный 3 3 2 3" xfId="612" xr:uid="{00000000-0005-0000-0000-000062000000}"/>
    <cellStyle name="Денежный 3 3 2 3 2" xfId="1183" xr:uid="{94D398F6-8006-4FDE-A1CB-A2A71F88ECD5}"/>
    <cellStyle name="Денежный 3 3 2 4" xfId="382" xr:uid="{00000000-0005-0000-0000-000062000000}"/>
    <cellStyle name="Денежный 3 3 2 4 2" xfId="1001" xr:uid="{D03D6715-1ED7-4E33-9C76-3DD99D072589}"/>
    <cellStyle name="Денежный 3 3 2 5" xfId="944" xr:uid="{0A709108-719D-44E0-8370-E45444595C71}"/>
    <cellStyle name="Денежный 3 3 3" xfId="305" xr:uid="{00000000-0005-0000-0000-000062000000}"/>
    <cellStyle name="Денежный 3 3 3 2" xfId="745" xr:uid="{00000000-0005-0000-0000-000062000000}"/>
    <cellStyle name="Денежный 3 3 3 2 2" xfId="1252" xr:uid="{3F2D13A8-C78F-4D8F-A733-34EBBDB0CE1C}"/>
    <cellStyle name="Денежный 3 3 3 3" xfId="640" xr:uid="{00000000-0005-0000-0000-000062000000}"/>
    <cellStyle name="Денежный 3 3 3 3 2" xfId="1195" xr:uid="{E000E706-DDFE-4F45-A617-5FDC78A7BE19}"/>
    <cellStyle name="Денежный 3 3 3 4" xfId="410" xr:uid="{00000000-0005-0000-0000-000062000000}"/>
    <cellStyle name="Денежный 3 3 3 4 2" xfId="1013" xr:uid="{6D18AE20-43FC-4278-9841-4F8EA2FB696C}"/>
    <cellStyle name="Денежный 3 3 3 5" xfId="956" xr:uid="{2AB4A1E9-2FFB-4D2C-A2FB-72F4E00FFF31}"/>
    <cellStyle name="Денежный 3 3 4" xfId="689" xr:uid="{00000000-0005-0000-0000-000062000000}"/>
    <cellStyle name="Денежный 3 3 4 2" xfId="1228" xr:uid="{6706704E-A2CB-44A9-9427-DE13A323CA13}"/>
    <cellStyle name="Денежный 3 3 5" xfId="584" xr:uid="{00000000-0005-0000-0000-000062000000}"/>
    <cellStyle name="Денежный 3 3 5 2" xfId="1171" xr:uid="{B18E52F3-322C-4505-93FD-F86ECCCADADE}"/>
    <cellStyle name="Денежный 3 3 6" xfId="354" xr:uid="{00000000-0005-0000-0000-000062000000}"/>
    <cellStyle name="Денежный 3 3 6 2" xfId="989" xr:uid="{1EE6625B-9F3C-401D-821F-D932733A5024}"/>
    <cellStyle name="Денежный 3 3 7" xfId="932" xr:uid="{45596A18-9FEC-4443-AF8B-FAD4F1B4D0EA}"/>
    <cellStyle name="Денежный 3 4" xfId="261" xr:uid="{00000000-0005-0000-0000-000062000000}"/>
    <cellStyle name="Денежный 3 4 2" xfId="703" xr:uid="{00000000-0005-0000-0000-000062000000}"/>
    <cellStyle name="Денежный 3 4 2 2" xfId="1234" xr:uid="{50E1468B-5C7D-4C7C-A2FB-5DE07B803F45}"/>
    <cellStyle name="Денежный 3 4 3" xfId="598" xr:uid="{00000000-0005-0000-0000-000062000000}"/>
    <cellStyle name="Денежный 3 4 3 2" xfId="1177" xr:uid="{9253F41B-1608-4C7D-BA1A-4DC1FE36DBD4}"/>
    <cellStyle name="Денежный 3 4 4" xfId="368" xr:uid="{00000000-0005-0000-0000-000062000000}"/>
    <cellStyle name="Денежный 3 4 4 2" xfId="995" xr:uid="{1319982A-BD0C-4AC6-A854-1B453CA0C3C2}"/>
    <cellStyle name="Денежный 3 4 5" xfId="938" xr:uid="{147AA65E-8F94-46E7-975A-6DA243EBF2DA}"/>
    <cellStyle name="Денежный 3 5" xfId="291" xr:uid="{00000000-0005-0000-0000-000062000000}"/>
    <cellStyle name="Денежный 3 5 2" xfId="731" xr:uid="{00000000-0005-0000-0000-000062000000}"/>
    <cellStyle name="Денежный 3 5 2 2" xfId="1246" xr:uid="{0CCFB468-6913-4133-BC02-6917844411C7}"/>
    <cellStyle name="Денежный 3 5 3" xfId="626" xr:uid="{00000000-0005-0000-0000-000062000000}"/>
    <cellStyle name="Денежный 3 5 3 2" xfId="1189" xr:uid="{6EE30772-AC04-4871-BD21-CE04517EFCE0}"/>
    <cellStyle name="Денежный 3 5 4" xfId="396" xr:uid="{00000000-0005-0000-0000-000062000000}"/>
    <cellStyle name="Денежный 3 5 4 2" xfId="1007" xr:uid="{DD997F05-E640-4CCC-BE5D-F6F1738E63B2}"/>
    <cellStyle name="Денежный 3 5 5" xfId="950" xr:uid="{16E8F847-0CE0-45D8-BE4A-1E03015670F6}"/>
    <cellStyle name="Денежный 3 6" xfId="231" xr:uid="{00000000-0005-0000-0000-000062000000}"/>
    <cellStyle name="Денежный 3 6 2" xfId="569" xr:uid="{00000000-0005-0000-0000-000062000000}"/>
    <cellStyle name="Денежный 3 6 2 2" xfId="1164" xr:uid="{BB2AA4B2-4AE2-47EE-B7D9-E38F36916C8C}"/>
    <cellStyle name="Денежный 3 6 3" xfId="925" xr:uid="{9C74065A-B0AE-4671-8567-2FCBE431FB4E}"/>
    <cellStyle name="Денежный 3 7" xfId="178" xr:uid="{00000000-0005-0000-0000-00007A000000}"/>
    <cellStyle name="Денежный 3 7 2" xfId="525" xr:uid="{00000000-0005-0000-0000-00007A000000}"/>
    <cellStyle name="Денежный 3 7 2 2" xfId="1124" xr:uid="{0AE703A1-1FF7-4A4C-98AF-E7DF950340BC}"/>
    <cellStyle name="Денежный 3 7 3" xfId="884" xr:uid="{91312D8D-693C-48CB-9D99-74F093E82517}"/>
    <cellStyle name="Денежный 3 8" xfId="674" xr:uid="{00000000-0005-0000-0000-000062000000}"/>
    <cellStyle name="Денежный 3 8 2" xfId="1221" xr:uid="{91B200F3-EFA1-414B-B5D0-E4E38E867D16}"/>
    <cellStyle name="Денежный 3 9" xfId="453" xr:uid="{00000000-0005-0000-0000-00007A000000}"/>
    <cellStyle name="Денежный 3 9 2" xfId="1052" xr:uid="{5CC7265F-0055-4891-A3CF-9622694F9167}"/>
    <cellStyle name="Денежный 4" xfId="124" xr:uid="{00000000-0005-0000-0000-00008F000000}"/>
    <cellStyle name="Денежный 4 10" xfId="830" xr:uid="{B075E1AE-BC8F-4061-9556-661E171F19A8}"/>
    <cellStyle name="Денежный 4 2" xfId="248" xr:uid="{00000000-0005-0000-0000-000080000000}"/>
    <cellStyle name="Денежный 4 2 2" xfId="278" xr:uid="{00000000-0005-0000-0000-000080000000}"/>
    <cellStyle name="Денежный 4 2 2 2" xfId="718" xr:uid="{00000000-0005-0000-0000-000080000000}"/>
    <cellStyle name="Денежный 4 2 2 2 2" xfId="1241" xr:uid="{EDCEE243-B90C-4C71-9E38-7C2A130C5DF0}"/>
    <cellStyle name="Денежный 4 2 2 3" xfId="613" xr:uid="{00000000-0005-0000-0000-000080000000}"/>
    <cellStyle name="Денежный 4 2 2 3 2" xfId="1184" xr:uid="{0D2AABE3-972A-4F6B-98DC-C6D1EF31F732}"/>
    <cellStyle name="Денежный 4 2 2 4" xfId="383" xr:uid="{00000000-0005-0000-0000-000080000000}"/>
    <cellStyle name="Денежный 4 2 2 4 2" xfId="1002" xr:uid="{AE2B0B02-912A-4A0B-8AB0-462C1D1E2FB2}"/>
    <cellStyle name="Денежный 4 2 2 5" xfId="945" xr:uid="{4346AA99-40C5-4213-89A2-3E583317A9E2}"/>
    <cellStyle name="Денежный 4 2 3" xfId="306" xr:uid="{00000000-0005-0000-0000-000080000000}"/>
    <cellStyle name="Денежный 4 2 3 2" xfId="746" xr:uid="{00000000-0005-0000-0000-000080000000}"/>
    <cellStyle name="Денежный 4 2 3 2 2" xfId="1253" xr:uid="{877E72BD-54EF-449D-94E8-931231976833}"/>
    <cellStyle name="Денежный 4 2 3 3" xfId="641" xr:uid="{00000000-0005-0000-0000-000080000000}"/>
    <cellStyle name="Денежный 4 2 3 3 2" xfId="1196" xr:uid="{D398A502-F34E-449A-B7B9-ADF91834731E}"/>
    <cellStyle name="Денежный 4 2 3 4" xfId="411" xr:uid="{00000000-0005-0000-0000-000080000000}"/>
    <cellStyle name="Денежный 4 2 3 4 2" xfId="1014" xr:uid="{1250932B-1FB8-4CBB-A7BE-DA5CB5FB2EE2}"/>
    <cellStyle name="Денежный 4 2 3 5" xfId="957" xr:uid="{AC668B41-4AB4-4DBA-9945-E7C7FB7B4794}"/>
    <cellStyle name="Денежный 4 2 4" xfId="690" xr:uid="{00000000-0005-0000-0000-000080000000}"/>
    <cellStyle name="Денежный 4 2 4 2" xfId="1229" xr:uid="{C04BF115-BFFB-4744-8CBE-07C5C06FDFE4}"/>
    <cellStyle name="Денежный 4 2 5" xfId="585" xr:uid="{00000000-0005-0000-0000-000080000000}"/>
    <cellStyle name="Денежный 4 2 5 2" xfId="1172" xr:uid="{3D862F2F-55AE-4F52-8454-986F98D0A632}"/>
    <cellStyle name="Денежный 4 2 6" xfId="355" xr:uid="{00000000-0005-0000-0000-000080000000}"/>
    <cellStyle name="Денежный 4 2 6 2" xfId="990" xr:uid="{BF5A240E-2AC0-4586-87BA-10BEDA5D6AD2}"/>
    <cellStyle name="Денежный 4 2 7" xfId="933" xr:uid="{89C7906A-9492-4F4D-8904-B134951D4763}"/>
    <cellStyle name="Денежный 4 3" xfId="262" xr:uid="{00000000-0005-0000-0000-000080000000}"/>
    <cellStyle name="Денежный 4 3 2" xfId="704" xr:uid="{00000000-0005-0000-0000-000080000000}"/>
    <cellStyle name="Денежный 4 3 2 2" xfId="1235" xr:uid="{29365439-59A6-4DFE-8026-12E9BEB88726}"/>
    <cellStyle name="Денежный 4 3 3" xfId="599" xr:uid="{00000000-0005-0000-0000-000080000000}"/>
    <cellStyle name="Денежный 4 3 3 2" xfId="1178" xr:uid="{F4449F1E-C429-4FE7-B9BD-54033E60AFE4}"/>
    <cellStyle name="Денежный 4 3 4" xfId="369" xr:uid="{00000000-0005-0000-0000-000080000000}"/>
    <cellStyle name="Денежный 4 3 4 2" xfId="996" xr:uid="{31C1BBB5-1D88-4245-8C2F-77F1DFCD23CA}"/>
    <cellStyle name="Денежный 4 3 5" xfId="939" xr:uid="{7E4B7272-82FA-4FBD-B75A-DE266B55B542}"/>
    <cellStyle name="Денежный 4 4" xfId="292" xr:uid="{00000000-0005-0000-0000-000080000000}"/>
    <cellStyle name="Денежный 4 4 2" xfId="732" xr:uid="{00000000-0005-0000-0000-000080000000}"/>
    <cellStyle name="Денежный 4 4 2 2" xfId="1247" xr:uid="{D3DA8341-AACE-475F-A84C-28FCEAF3B1BF}"/>
    <cellStyle name="Денежный 4 4 3" xfId="627" xr:uid="{00000000-0005-0000-0000-000080000000}"/>
    <cellStyle name="Денежный 4 4 3 2" xfId="1190" xr:uid="{0B554B5A-A08A-46B1-951A-80865A0D2A3F}"/>
    <cellStyle name="Денежный 4 4 4" xfId="397" xr:uid="{00000000-0005-0000-0000-000080000000}"/>
    <cellStyle name="Денежный 4 4 4 2" xfId="1008" xr:uid="{DD40AB4D-7C1C-40DA-A6E2-E328A14308EB}"/>
    <cellStyle name="Денежный 4 4 5" xfId="951" xr:uid="{A4B32C93-1D26-43BA-B70C-E91DA0846510}"/>
    <cellStyle name="Денежный 4 5" xfId="234" xr:uid="{00000000-0005-0000-0000-000080000000}"/>
    <cellStyle name="Денежный 4 5 2" xfId="571" xr:uid="{00000000-0005-0000-0000-000080000000}"/>
    <cellStyle name="Денежный 4 5 2 2" xfId="1166" xr:uid="{651D7AD9-F2D2-4AC6-92F5-7AC4632BC16E}"/>
    <cellStyle name="Денежный 4 5 3" xfId="927" xr:uid="{F610FB48-9D39-4CA5-BF35-75E8DDAC0B97}"/>
    <cellStyle name="Денежный 4 6" xfId="196" xr:uid="{00000000-0005-0000-0000-00008F000000}"/>
    <cellStyle name="Денежный 4 6 2" xfId="543" xr:uid="{00000000-0005-0000-0000-00008F000000}"/>
    <cellStyle name="Денежный 4 6 2 2" xfId="1142" xr:uid="{32E347EA-65C1-4A8F-868C-EE64759A3767}"/>
    <cellStyle name="Денежный 4 6 3" xfId="902" xr:uid="{026B06A3-9EA2-4E27-9172-ECD6E24851A4}"/>
    <cellStyle name="Денежный 4 7" xfId="676" xr:uid="{00000000-0005-0000-0000-000080000000}"/>
    <cellStyle name="Денежный 4 7 2" xfId="1223" xr:uid="{2ACF2DE8-1AF2-4BAE-B0C7-B8F385FD59BF}"/>
    <cellStyle name="Денежный 4 8" xfId="471" xr:uid="{00000000-0005-0000-0000-00008F000000}"/>
    <cellStyle name="Денежный 4 8 2" xfId="1070" xr:uid="{E03FB8CC-0223-4347-9AEC-661970F592A8}"/>
    <cellStyle name="Денежный 4 9" xfId="341" xr:uid="{00000000-0005-0000-0000-000080000000}"/>
    <cellStyle name="Денежный 4 9 2" xfId="984" xr:uid="{879246A0-7B31-4958-85AD-738934258D20}"/>
    <cellStyle name="Денежный 5" xfId="86" xr:uid="{00000000-0005-0000-0000-00008D000000}"/>
    <cellStyle name="Денежный 5 2" xfId="270" xr:uid="{00000000-0005-0000-0000-00005E000000}"/>
    <cellStyle name="Денежный 5 2 2" xfId="711" xr:uid="{00000000-0005-0000-0000-00005E000000}"/>
    <cellStyle name="Денежный 5 2 2 2" xfId="1238" xr:uid="{9C9DDBB0-07B0-40C0-A8A9-798E3B217902}"/>
    <cellStyle name="Денежный 5 2 3" xfId="606" xr:uid="{00000000-0005-0000-0000-00005E000000}"/>
    <cellStyle name="Денежный 5 2 3 2" xfId="1181" xr:uid="{D60373ED-99E5-43D0-8232-FC135DF6B9B0}"/>
    <cellStyle name="Денежный 5 2 4" xfId="376" xr:uid="{00000000-0005-0000-0000-00005E000000}"/>
    <cellStyle name="Денежный 5 2 4 2" xfId="999" xr:uid="{00FCE711-A9E0-4B99-ACC3-72148773834A}"/>
    <cellStyle name="Денежный 5 2 5" xfId="942" xr:uid="{9353CF1F-1995-49B2-BAC9-E24E87641B80}"/>
    <cellStyle name="Денежный 5 3" xfId="299" xr:uid="{00000000-0005-0000-0000-00005E000000}"/>
    <cellStyle name="Денежный 5 3 2" xfId="739" xr:uid="{00000000-0005-0000-0000-00005E000000}"/>
    <cellStyle name="Денежный 5 3 2 2" xfId="1250" xr:uid="{93EA65F6-7D37-4033-B525-772D01ABE980}"/>
    <cellStyle name="Денежный 5 3 3" xfId="634" xr:uid="{00000000-0005-0000-0000-00005E000000}"/>
    <cellStyle name="Денежный 5 3 3 2" xfId="1193" xr:uid="{CF975A41-8FA3-4EB6-838F-48E7563A0AFD}"/>
    <cellStyle name="Денежный 5 3 4" xfId="404" xr:uid="{00000000-0005-0000-0000-00005E000000}"/>
    <cellStyle name="Денежный 5 3 4 2" xfId="1011" xr:uid="{0AB60C6B-94D8-4EBC-804B-19F3E8E615F8}"/>
    <cellStyle name="Денежный 5 3 5" xfId="954" xr:uid="{F96FF175-9830-4419-9D86-80B1E24F4387}"/>
    <cellStyle name="Денежный 5 4" xfId="241" xr:uid="{00000000-0005-0000-0000-000087000000}"/>
    <cellStyle name="Денежный 5 4 2" xfId="578" xr:uid="{00000000-0005-0000-0000-000087000000}"/>
    <cellStyle name="Денежный 5 4 2 2" xfId="1169" xr:uid="{EBD6EDD6-6A4A-4BC5-AE0A-E3AB72761ABF}"/>
    <cellStyle name="Денежный 5 4 3" xfId="930" xr:uid="{32CD3BBE-2A1B-4F81-9F4A-959D977645A4}"/>
    <cellStyle name="Денежный 5 5" xfId="160" xr:uid="{00000000-0005-0000-0000-00008D000000}"/>
    <cellStyle name="Денежный 5 5 2" xfId="507" xr:uid="{00000000-0005-0000-0000-00008D000000}"/>
    <cellStyle name="Денежный 5 5 2 2" xfId="1106" xr:uid="{563948A1-D530-4E1A-B9BA-3ACB4253D645}"/>
    <cellStyle name="Денежный 5 5 3" xfId="866" xr:uid="{EC77CDE0-6BFB-4ADA-A9F1-87147CE44AB4}"/>
    <cellStyle name="Денежный 5 6" xfId="683" xr:uid="{00000000-0005-0000-0000-000087000000}"/>
    <cellStyle name="Денежный 5 6 2" xfId="1226" xr:uid="{0D9217E7-94E2-4FD8-9166-B96D85CDFB35}"/>
    <cellStyle name="Денежный 5 7" xfId="436" xr:uid="{00000000-0005-0000-0000-00008D000000}"/>
    <cellStyle name="Денежный 5 7 2" xfId="1035" xr:uid="{6C71C427-8CE0-40C0-A98C-364A96E063F8}"/>
    <cellStyle name="Денежный 5 8" xfId="348" xr:uid="{00000000-0005-0000-0000-000087000000}"/>
    <cellStyle name="Денежный 5 8 2" xfId="987" xr:uid="{434865A3-7F66-428E-8EA3-D2A0E093B4B7}"/>
    <cellStyle name="Денежный 5 9" xfId="794" xr:uid="{32ABB284-3285-4B0D-882C-76602325CBDD}"/>
    <cellStyle name="Денежный 6" xfId="255" xr:uid="{00000000-0005-0000-0000-000095000000}"/>
    <cellStyle name="Денежный 6 2" xfId="697" xr:uid="{00000000-0005-0000-0000-000095000000}"/>
    <cellStyle name="Денежный 6 2 2" xfId="1232" xr:uid="{B3DA75FA-00F2-4CCF-8D82-8BA1603928B0}"/>
    <cellStyle name="Денежный 6 3" xfId="592" xr:uid="{00000000-0005-0000-0000-000095000000}"/>
    <cellStyle name="Денежный 6 3 2" xfId="1175" xr:uid="{12D77483-E291-419A-B4E5-801EF5C131FA}"/>
    <cellStyle name="Денежный 6 4" xfId="362" xr:uid="{00000000-0005-0000-0000-000095000000}"/>
    <cellStyle name="Денежный 6 4 2" xfId="993" xr:uid="{6F672205-B831-4E90-AF20-B1B66D0B329B}"/>
    <cellStyle name="Денежный 6 5" xfId="936" xr:uid="{44D492F9-A8D4-4368-B228-171660C4399B}"/>
    <cellStyle name="Денежный 7" xfId="285" xr:uid="{00000000-0005-0000-0000-0000B3000000}"/>
    <cellStyle name="Денежный 7 2" xfId="725" xr:uid="{00000000-0005-0000-0000-0000B3000000}"/>
    <cellStyle name="Денежный 7 2 2" xfId="1244" xr:uid="{5DB7B5C3-1F95-4DD4-9A8D-7CCA42AF653D}"/>
    <cellStyle name="Денежный 7 3" xfId="620" xr:uid="{00000000-0005-0000-0000-0000B3000000}"/>
    <cellStyle name="Денежный 7 3 2" xfId="1187" xr:uid="{5830F804-FD27-4879-814A-FBB21C0C8F85}"/>
    <cellStyle name="Денежный 7 4" xfId="390" xr:uid="{00000000-0005-0000-0000-0000B3000000}"/>
    <cellStyle name="Денежный 7 4 2" xfId="1005" xr:uid="{94C9432E-D6E7-412D-83CE-2258F663ADE7}"/>
    <cellStyle name="Денежный 7 5" xfId="948" xr:uid="{9330D7BA-B8B9-4C77-9206-6E31DCB397AB}"/>
    <cellStyle name="Денежный 8" xfId="198" xr:uid="{00000000-0005-0000-0000-0000B2000000}"/>
    <cellStyle name="Денежный 8 2" xfId="545" xr:uid="{00000000-0005-0000-0000-0000B2000000}"/>
    <cellStyle name="Денежный 8 2 2" xfId="1144" xr:uid="{1192D640-F545-4192-8C72-358AAA30538E}"/>
    <cellStyle name="Денежный 8 3" xfId="904" xr:uid="{9FCB3C35-5EA3-4A44-845E-E3F6802570F7}"/>
    <cellStyle name="Денежный 9" xfId="142" xr:uid="{00000000-0005-0000-0000-0000D6000000}"/>
    <cellStyle name="Денежный 9 2" xfId="489" xr:uid="{00000000-0005-0000-0000-0000D6000000}"/>
    <cellStyle name="Денежный 9 2 2" xfId="1088" xr:uid="{151905AA-85A9-438A-98B0-8B9192900797}"/>
    <cellStyle name="Денежный 9 3" xfId="848" xr:uid="{B12F60A7-4ADE-4F01-8314-0DFB3816789D}"/>
    <cellStyle name="Заголовок 1 2" xfId="25" xr:uid="{00000000-0005-0000-0000-000035000000}"/>
    <cellStyle name="Заголовок 2 2" xfId="26" xr:uid="{00000000-0005-0000-0000-000036000000}"/>
    <cellStyle name="Заголовок 3 2" xfId="27" xr:uid="{00000000-0005-0000-0000-000037000000}"/>
    <cellStyle name="Итог 2" xfId="43" xr:uid="{00000000-0005-0000-0000-000038000000}"/>
    <cellStyle name="Название 2" xfId="42" xr:uid="{00000000-0005-0000-0000-000039000000}"/>
    <cellStyle name="Обычный" xfId="0" builtinId="0"/>
    <cellStyle name="Обычный 10" xfId="62" xr:uid="{CAC80CE1-E737-4A3B-A254-0ABEED7C9D66}"/>
    <cellStyle name="Обычный 11" xfId="197" xr:uid="{00000000-0005-0000-0000-0000D7000000}"/>
    <cellStyle name="Обычный 11 2" xfId="544" xr:uid="{00000000-0005-0000-0000-0000D7000000}"/>
    <cellStyle name="Обычный 11 2 2" xfId="1143" xr:uid="{7981FD46-506F-456C-97E5-E599C76E2E3B}"/>
    <cellStyle name="Обычный 11 3" xfId="903" xr:uid="{1A649A5C-17B6-48AF-9695-DF8F91687CFC}"/>
    <cellStyle name="Обычный 12" xfId="648" xr:uid="{00000000-0005-0000-0000-000092010000}"/>
    <cellStyle name="Обычный 12 2" xfId="1199" xr:uid="{7EFABB61-0CFA-46A5-B6A8-29B9116BE9A9}"/>
    <cellStyle name="Обычный 13" xfId="753" xr:uid="{E2A7482E-FB18-49C0-85EA-D181B148F1E3}"/>
    <cellStyle name="Обычный 13 2" xfId="1256" xr:uid="{39640758-14F3-4AC2-9F97-672BAF1BF80E}"/>
    <cellStyle name="Обычный 14" xfId="313" xr:uid="{00000000-0005-0000-0000-000033020000}"/>
    <cellStyle name="Обычный 14 2" xfId="960" xr:uid="{BA64BC24-6B92-473F-86FD-80A5FE704E8B}"/>
    <cellStyle name="Обычный 15" xfId="758" xr:uid="{00000000-0005-0000-0000-000022030000}"/>
    <cellStyle name="Обычный 15 2" xfId="1260" xr:uid="{A12FFF5E-66EA-4EED-B4C4-BA3A43F98A26}"/>
    <cellStyle name="Обычный 16" xfId="1261" xr:uid="{8499840F-6465-4FAB-BE7F-1C69BF987E62}"/>
    <cellStyle name="Обычный 18" xfId="755" xr:uid="{54E8F56C-C247-4573-8EA2-152C7400132F}"/>
    <cellStyle name="Обычный 18 2" xfId="1258" xr:uid="{8791B001-6C08-4074-B3B2-4B41C3524357}"/>
    <cellStyle name="Обычный 2" xfId="47" xr:uid="{00000000-0005-0000-0000-00003A000000}"/>
    <cellStyle name="Обычный 2 2" xfId="55" xr:uid="{00000000-0005-0000-0000-00003B000000}"/>
    <cellStyle name="Обычный 2 2 10" xfId="771" xr:uid="{0731A62C-17E3-43B8-9421-3D1FE9F2D1BF}"/>
    <cellStyle name="Обычный 2 2 2" xfId="64" xr:uid="{41E9A6D7-AD43-4FD5-A591-BE3A53840E26}"/>
    <cellStyle name="Обычный 2 2 2 2" xfId="104" xr:uid="{41E9A6D7-AD43-4FD5-A591-BE3A53840E26}"/>
    <cellStyle name="Обычный 2 2 2 2 2" xfId="177" xr:uid="{41E9A6D7-AD43-4FD5-A591-BE3A53840E26}"/>
    <cellStyle name="Обычный 2 2 2 2 2 2" xfId="524" xr:uid="{41E9A6D7-AD43-4FD5-A591-BE3A53840E26}"/>
    <cellStyle name="Обычный 2 2 2 2 2 2 2" xfId="1123" xr:uid="{5BCCA731-7D11-4E10-ADB1-A90414846E50}"/>
    <cellStyle name="Обычный 2 2 2 2 2 3" xfId="883" xr:uid="{CA4AE478-7403-4F07-B31D-5A92508C0FE7}"/>
    <cellStyle name="Обычный 2 2 2 2 3" xfId="452" xr:uid="{41E9A6D7-AD43-4FD5-A591-BE3A53840E26}"/>
    <cellStyle name="Обычный 2 2 2 2 3 2" xfId="1051" xr:uid="{69BE6115-0F72-42E8-B577-8DAE101D0ED9}"/>
    <cellStyle name="Обычный 2 2 2 2 4" xfId="811" xr:uid="{6F7EF95F-7666-4511-AE02-AB5D93CDE8FE}"/>
    <cellStyle name="Обычный 2 2 2 3" xfId="123" xr:uid="{41E9A6D7-AD43-4FD5-A591-BE3A53840E26}"/>
    <cellStyle name="Обычный 2 2 2 3 2" xfId="195" xr:uid="{41E9A6D7-AD43-4FD5-A591-BE3A53840E26}"/>
    <cellStyle name="Обычный 2 2 2 3 2 2" xfId="542" xr:uid="{41E9A6D7-AD43-4FD5-A591-BE3A53840E26}"/>
    <cellStyle name="Обычный 2 2 2 3 2 2 2" xfId="1141" xr:uid="{7A779710-0029-4787-9B7D-F359F19CC92D}"/>
    <cellStyle name="Обычный 2 2 2 3 2 3" xfId="901" xr:uid="{9089D2D7-0C57-4B99-BD8B-4DF83F7157DA}"/>
    <cellStyle name="Обычный 2 2 2 3 3" xfId="470" xr:uid="{41E9A6D7-AD43-4FD5-A591-BE3A53840E26}"/>
    <cellStyle name="Обычный 2 2 2 3 3 2" xfId="1069" xr:uid="{D9AD3469-CF92-4D5A-8D7E-623DDCD0EF1C}"/>
    <cellStyle name="Обычный 2 2 2 3 4" xfId="829" xr:uid="{56110D10-4109-4975-A8BC-F50D87DF8211}"/>
    <cellStyle name="Обычный 2 2 2 4" xfId="85" xr:uid="{41E9A6D7-AD43-4FD5-A591-BE3A53840E26}"/>
    <cellStyle name="Обычный 2 2 2 4 2" xfId="159" xr:uid="{41E9A6D7-AD43-4FD5-A591-BE3A53840E26}"/>
    <cellStyle name="Обычный 2 2 2 4 2 2" xfId="506" xr:uid="{41E9A6D7-AD43-4FD5-A591-BE3A53840E26}"/>
    <cellStyle name="Обычный 2 2 2 4 2 2 2" xfId="1105" xr:uid="{CE4EBF96-07F9-4427-BC09-B739FF14F5A9}"/>
    <cellStyle name="Обычный 2 2 2 4 2 3" xfId="865" xr:uid="{16E19512-9C26-4B09-88AA-50F2392518D6}"/>
    <cellStyle name="Обычный 2 2 2 4 3" xfId="435" xr:uid="{41E9A6D7-AD43-4FD5-A591-BE3A53840E26}"/>
    <cellStyle name="Обычный 2 2 2 4 3 2" xfId="1034" xr:uid="{61E78A83-0859-473A-8889-D8AD0883EA23}"/>
    <cellStyle name="Обычный 2 2 2 4 4" xfId="793" xr:uid="{9E45E2D2-FC5C-44F9-8BC2-164EA0CCEEEB}"/>
    <cellStyle name="Обычный 2 2 2 5" xfId="202" xr:uid="{3038131D-C2ED-4367-8C44-807A8F1D566D}"/>
    <cellStyle name="Обычный 2 2 2 5 2" xfId="548" xr:uid="{3038131D-C2ED-4367-8C44-807A8F1D566D}"/>
    <cellStyle name="Обычный 2 2 2 5 2 2" xfId="1147" xr:uid="{F59B4910-59F4-4FEC-8C3F-0BCC5550328B}"/>
    <cellStyle name="Обычный 2 2 2 5 3" xfId="907" xr:uid="{FFF1821B-5DF2-440B-9E13-1C3B0DCD0B15}"/>
    <cellStyle name="Обычный 2 2 2 6" xfId="141" xr:uid="{41E9A6D7-AD43-4FD5-A591-BE3A53840E26}"/>
    <cellStyle name="Обычный 2 2 2 6 2" xfId="488" xr:uid="{41E9A6D7-AD43-4FD5-A591-BE3A53840E26}"/>
    <cellStyle name="Обычный 2 2 2 6 2 2" xfId="1087" xr:uid="{DEA2A783-5911-4B36-9518-FE2E6566230A}"/>
    <cellStyle name="Обычный 2 2 2 6 3" xfId="847" xr:uid="{97543696-0E39-4C04-90A0-68D5FAAD4EC6}"/>
    <cellStyle name="Обычный 2 2 2 7" xfId="652" xr:uid="{3038131D-C2ED-4367-8C44-807A8F1D566D}"/>
    <cellStyle name="Обычный 2 2 2 7 2" xfId="1203" xr:uid="{23CBAA02-A9D4-425F-BD61-35F67D811FC2}"/>
    <cellStyle name="Обычный 2 2 2 8" xfId="317" xr:uid="{3038131D-C2ED-4367-8C44-807A8F1D566D}"/>
    <cellStyle name="Обычный 2 2 2 8 2" xfId="964" xr:uid="{DEF4326D-EFE4-4D68-A56D-2EB2F5C8F6DB}"/>
    <cellStyle name="Обычный 2 2 2 9" xfId="775" xr:uid="{A0932205-D08E-4B36-BFF4-5B584686B1B1}"/>
    <cellStyle name="Обычный 2 2 3" xfId="99" xr:uid="{00000000-0005-0000-0000-00003B000000}"/>
    <cellStyle name="Обычный 2 2 3 2" xfId="173" xr:uid="{00000000-0005-0000-0000-00003B000000}"/>
    <cellStyle name="Обычный 2 2 3 2 2" xfId="520" xr:uid="{00000000-0005-0000-0000-00003B000000}"/>
    <cellStyle name="Обычный 2 2 3 2 2 2" xfId="1119" xr:uid="{64E4464E-B5E1-4BBA-AEC4-709AEEEBE9A6}"/>
    <cellStyle name="Обычный 2 2 3 2 3" xfId="879" xr:uid="{B123AFE5-2120-4632-883F-1277E10CA07A}"/>
    <cellStyle name="Обычный 2 2 3 3" xfId="448" xr:uid="{00000000-0005-0000-0000-00003B000000}"/>
    <cellStyle name="Обычный 2 2 3 3 2" xfId="1047" xr:uid="{B8B14BF4-C233-44CF-97FC-FC5A678D522C}"/>
    <cellStyle name="Обычный 2 2 3 4" xfId="807" xr:uid="{C239D0EF-CBF8-481C-AE82-1C42A8253E1F}"/>
    <cellStyle name="Обычный 2 2 4" xfId="119" xr:uid="{00000000-0005-0000-0000-00003B000000}"/>
    <cellStyle name="Обычный 2 2 4 2" xfId="191" xr:uid="{00000000-0005-0000-0000-00003B000000}"/>
    <cellStyle name="Обычный 2 2 4 2 2" xfId="538" xr:uid="{00000000-0005-0000-0000-00003B000000}"/>
    <cellStyle name="Обычный 2 2 4 2 2 2" xfId="1137" xr:uid="{37B6035A-4B8E-4427-87F5-24D511BED5C2}"/>
    <cellStyle name="Обычный 2 2 4 2 3" xfId="897" xr:uid="{A6F544ED-DED9-49AB-B961-5797E73E2A78}"/>
    <cellStyle name="Обычный 2 2 4 3" xfId="466" xr:uid="{00000000-0005-0000-0000-00003B000000}"/>
    <cellStyle name="Обычный 2 2 4 3 2" xfId="1065" xr:uid="{6CCC63BB-B807-48EE-8898-CF91D5AC074F}"/>
    <cellStyle name="Обычный 2 2 4 4" xfId="825" xr:uid="{A4FEE549-8748-4798-9244-CA4EC040A56C}"/>
    <cellStyle name="Обычный 2 2 5" xfId="80" xr:uid="{00000000-0005-0000-0000-00003B000000}"/>
    <cellStyle name="Обычный 2 2 5 2" xfId="155" xr:uid="{00000000-0005-0000-0000-00003B000000}"/>
    <cellStyle name="Обычный 2 2 5 2 2" xfId="502" xr:uid="{00000000-0005-0000-0000-00003B000000}"/>
    <cellStyle name="Обычный 2 2 5 2 2 2" xfId="1101" xr:uid="{01438F24-D57E-43BA-8174-ED763D315C19}"/>
    <cellStyle name="Обычный 2 2 5 2 3" xfId="861" xr:uid="{37E19503-4408-4E48-95D4-77DD6B412C3C}"/>
    <cellStyle name="Обычный 2 2 5 3" xfId="431" xr:uid="{00000000-0005-0000-0000-00003B000000}"/>
    <cellStyle name="Обычный 2 2 5 3 2" xfId="1030" xr:uid="{0B4B6741-00FF-40C5-881C-D251BECBF95A}"/>
    <cellStyle name="Обычный 2 2 5 4" xfId="789" xr:uid="{5068AB23-AF94-442C-81B3-E3451E7ADF90}"/>
    <cellStyle name="Обычный 2 2 6" xfId="200" xr:uid="{05EED0EA-253E-4FD7-9044-056967BF011F}"/>
    <cellStyle name="Обычный 2 2 6 2" xfId="546" xr:uid="{05EED0EA-253E-4FD7-9044-056967BF011F}"/>
    <cellStyle name="Обычный 2 2 6 2 2" xfId="1145" xr:uid="{738024C2-6B65-4B88-B4D8-3BA00389B0C9}"/>
    <cellStyle name="Обычный 2 2 6 3" xfId="905" xr:uid="{B0CD0B35-DF63-4216-A038-2E55F84FF13D}"/>
    <cellStyle name="Обычный 2 2 7" xfId="137" xr:uid="{00000000-0005-0000-0000-00003B000000}"/>
    <cellStyle name="Обычный 2 2 7 2" xfId="484" xr:uid="{00000000-0005-0000-0000-00003B000000}"/>
    <cellStyle name="Обычный 2 2 7 2 2" xfId="1083" xr:uid="{4306748C-8E43-4825-85AB-B07853692FF7}"/>
    <cellStyle name="Обычный 2 2 7 3" xfId="843" xr:uid="{C502693B-DFEF-4EE9-BAA8-609CCD436A57}"/>
    <cellStyle name="Обычный 2 2 8" xfId="650" xr:uid="{05EED0EA-253E-4FD7-9044-056967BF011F}"/>
    <cellStyle name="Обычный 2 2 8 2" xfId="1201" xr:uid="{D157C9C2-BB87-4B04-A722-E538F3F48D15}"/>
    <cellStyle name="Обычный 2 2 9" xfId="315" xr:uid="{05EED0EA-253E-4FD7-9044-056967BF011F}"/>
    <cellStyle name="Обычный 2 2 9 2" xfId="962" xr:uid="{4AFBCA87-3F1F-409E-81A6-35FF90A53927}"/>
    <cellStyle name="Обычный 2 3" xfId="92" xr:uid="{00000000-0005-0000-0000-00003A000000}"/>
    <cellStyle name="Обычный 2 3 2" xfId="216" xr:uid="{00000000-0005-0000-0000-00003A000000}"/>
    <cellStyle name="Обычный 2 3 2 2" xfId="557" xr:uid="{00000000-0005-0000-0000-00003A000000}"/>
    <cellStyle name="Обычный 2 3 2 2 2" xfId="1154" xr:uid="{6132C273-0169-4248-B5F3-75BE47628A40}"/>
    <cellStyle name="Обычный 2 3 2 3" xfId="915" xr:uid="{D9819D0B-CB9C-4A72-9554-9B521F3D0812}"/>
    <cellStyle name="Обычный 2 3 3" xfId="166" xr:uid="{00000000-0005-0000-0000-00003A000000}"/>
    <cellStyle name="Обычный 2 3 3 2" xfId="513" xr:uid="{00000000-0005-0000-0000-00003A000000}"/>
    <cellStyle name="Обычный 2 3 3 2 2" xfId="1112" xr:uid="{F6C9C497-F767-4621-8F38-5FD7BE6CAB11}"/>
    <cellStyle name="Обычный 2 3 3 3" xfId="872" xr:uid="{60DD7073-8707-49D6-AEEA-82F33A807977}"/>
    <cellStyle name="Обычный 2 3 4" xfId="662" xr:uid="{00000000-0005-0000-0000-00003A000000}"/>
    <cellStyle name="Обычный 2 3 4 2" xfId="1211" xr:uid="{9BFB04E3-3A25-4C79-BC5D-56FDAF6EA47C}"/>
    <cellStyle name="Обычный 2 3 5" xfId="327" xr:uid="{00000000-0005-0000-0000-00003A000000}"/>
    <cellStyle name="Обычный 2 3 5 2" xfId="972" xr:uid="{FC7E0688-FD53-4F80-8172-EF269CEAE0FA}"/>
    <cellStyle name="Обычный 2 3 6" xfId="800" xr:uid="{1B238737-1EEA-413D-8227-C1DAC89ED8B1}"/>
    <cellStyle name="Обычный 2 4" xfId="112" xr:uid="{00000000-0005-0000-0000-00003A000000}"/>
    <cellStyle name="Обычный 2 4 2" xfId="204" xr:uid="{0ADC956C-1017-4FA9-83B6-D05E0F50A368}"/>
    <cellStyle name="Обычный 2 4 3" xfId="184" xr:uid="{00000000-0005-0000-0000-00003A000000}"/>
    <cellStyle name="Обычный 2 4 3 2" xfId="531" xr:uid="{00000000-0005-0000-0000-00003A000000}"/>
    <cellStyle name="Обычный 2 4 3 2 2" xfId="1130" xr:uid="{E6C5CF3D-03DD-4EB1-A99A-5D48BC0E804F}"/>
    <cellStyle name="Обычный 2 4 3 3" xfId="890" xr:uid="{AAECCB76-3A83-4962-8984-1CAE1B9427BA}"/>
    <cellStyle name="Обычный 2 4 4" xfId="459" xr:uid="{00000000-0005-0000-0000-00003A000000}"/>
    <cellStyle name="Обычный 2 4 4 2" xfId="1058" xr:uid="{1C3B2553-545D-41D4-9A17-B483F163561C}"/>
    <cellStyle name="Обычный 2 4 5" xfId="818" xr:uid="{07B07ABD-4CFA-4D7D-9989-03ACAB6CD17D}"/>
    <cellStyle name="Обычный 2 5" xfId="73" xr:uid="{00000000-0005-0000-0000-00003A000000}"/>
    <cellStyle name="Обычный 2 5 2" xfId="271" xr:uid="{FCB33B27-2E6F-4E33-A57E-7D42C19964BD}"/>
    <cellStyle name="Обычный 2 5 3" xfId="148" xr:uid="{00000000-0005-0000-0000-00003A000000}"/>
    <cellStyle name="Обычный 2 5 3 2" xfId="495" xr:uid="{00000000-0005-0000-0000-00003A000000}"/>
    <cellStyle name="Обычный 2 5 3 2 2" xfId="1094" xr:uid="{78F60C68-92F6-4551-BDD8-073AA6B9B697}"/>
    <cellStyle name="Обычный 2 5 3 3" xfId="854" xr:uid="{4F4A0F88-DD1E-49EA-9723-50A2125E5B34}"/>
    <cellStyle name="Обычный 2 5 4" xfId="424" xr:uid="{00000000-0005-0000-0000-00003A000000}"/>
    <cellStyle name="Обычный 2 5 4 2" xfId="1023" xr:uid="{D9568F18-80E4-4881-AE94-A73413AF3816}"/>
    <cellStyle name="Обычный 2 5 5" xfId="782" xr:uid="{51CFD385-3D65-41C8-AD99-7406478CD742}"/>
    <cellStyle name="Обычный 2 6" xfId="199" xr:uid="{FCB33B27-2E6F-4E33-A57E-7D42C19964BD}"/>
    <cellStyle name="Обычный 2 7" xfId="130" xr:uid="{00000000-0005-0000-0000-00003A000000}"/>
    <cellStyle name="Обычный 2 7 2" xfId="477" xr:uid="{00000000-0005-0000-0000-00003A000000}"/>
    <cellStyle name="Обычный 2 7 2 2" xfId="1076" xr:uid="{21A2564F-6761-4A62-9E01-61B48E429C6B}"/>
    <cellStyle name="Обычный 2 7 3" xfId="836" xr:uid="{580CA338-A6EF-4B53-9113-BFB3264A43BE}"/>
    <cellStyle name="Обычный 2 8" xfId="754" xr:uid="{9E30CF79-5463-4E1C-9792-1D49105C662C}"/>
    <cellStyle name="Обычный 2 8 2" xfId="1257" xr:uid="{6529AC76-304C-409F-AAEE-F459EF16BE39}"/>
    <cellStyle name="Обычный 2 9" xfId="764" xr:uid="{32A356EC-6D56-481B-8F48-F0D1D9024102}"/>
    <cellStyle name="Обычный 21" xfId="61" xr:uid="{040B7B84-A086-44A2-BFEE-6D5000C339CF}"/>
    <cellStyle name="Обычный 21 2" xfId="103" xr:uid="{040B7B84-A086-44A2-BFEE-6D5000C339CF}"/>
    <cellStyle name="Обычный 21 2 2" xfId="176" xr:uid="{040B7B84-A086-44A2-BFEE-6D5000C339CF}"/>
    <cellStyle name="Обычный 21 2 2 2" xfId="523" xr:uid="{040B7B84-A086-44A2-BFEE-6D5000C339CF}"/>
    <cellStyle name="Обычный 21 2 2 2 2" xfId="1122" xr:uid="{F174651C-0200-4D07-9200-B5B5ED74F1D8}"/>
    <cellStyle name="Обычный 21 2 2 3" xfId="882" xr:uid="{E517B5FA-5572-45A3-A06E-3EEF2F30C319}"/>
    <cellStyle name="Обычный 21 2 3" xfId="451" xr:uid="{040B7B84-A086-44A2-BFEE-6D5000C339CF}"/>
    <cellStyle name="Обычный 21 2 3 2" xfId="1050" xr:uid="{8B8C4727-A7B0-475D-A651-F0F53833381F}"/>
    <cellStyle name="Обычный 21 2 4" xfId="810" xr:uid="{B76A8A35-8B85-4DDE-A06F-14C460CEB031}"/>
    <cellStyle name="Обычный 21 3" xfId="122" xr:uid="{040B7B84-A086-44A2-BFEE-6D5000C339CF}"/>
    <cellStyle name="Обычный 21 3 2" xfId="194" xr:uid="{040B7B84-A086-44A2-BFEE-6D5000C339CF}"/>
    <cellStyle name="Обычный 21 3 2 2" xfId="541" xr:uid="{040B7B84-A086-44A2-BFEE-6D5000C339CF}"/>
    <cellStyle name="Обычный 21 3 2 2 2" xfId="1140" xr:uid="{AEE2C7FC-FD8E-410E-A0AF-0C0BB78CA6E6}"/>
    <cellStyle name="Обычный 21 3 2 3" xfId="900" xr:uid="{2FBE8826-7085-4849-814B-A19911FE62F5}"/>
    <cellStyle name="Обычный 21 3 3" xfId="469" xr:uid="{040B7B84-A086-44A2-BFEE-6D5000C339CF}"/>
    <cellStyle name="Обычный 21 3 3 2" xfId="1068" xr:uid="{5826C1A7-E4FC-477B-A166-E95F0572BC16}"/>
    <cellStyle name="Обычный 21 3 4" xfId="828" xr:uid="{ACE0DCA0-9CB9-4446-BDF4-0CAD58CB8195}"/>
    <cellStyle name="Обычный 21 4" xfId="84" xr:uid="{040B7B84-A086-44A2-BFEE-6D5000C339CF}"/>
    <cellStyle name="Обычный 21 4 2" xfId="158" xr:uid="{040B7B84-A086-44A2-BFEE-6D5000C339CF}"/>
    <cellStyle name="Обычный 21 4 2 2" xfId="505" xr:uid="{040B7B84-A086-44A2-BFEE-6D5000C339CF}"/>
    <cellStyle name="Обычный 21 4 2 2 2" xfId="1104" xr:uid="{395D32FA-9123-4E7A-82AC-5F53F0193F65}"/>
    <cellStyle name="Обычный 21 4 2 3" xfId="864" xr:uid="{3B8045B0-1422-4E8E-A27A-9F8212FDCAE4}"/>
    <cellStyle name="Обычный 21 4 3" xfId="434" xr:uid="{040B7B84-A086-44A2-BFEE-6D5000C339CF}"/>
    <cellStyle name="Обычный 21 4 3 2" xfId="1033" xr:uid="{2B01E744-8340-4175-A151-F6A2DF82C9CB}"/>
    <cellStyle name="Обычный 21 4 4" xfId="792" xr:uid="{54C6DAE0-4462-4FAA-B53F-07A68CCCCA39}"/>
    <cellStyle name="Обычный 21 5" xfId="226" xr:uid="{040B7B84-A086-44A2-BFEE-6D5000C339CF}"/>
    <cellStyle name="Обычный 21 5 2" xfId="566" xr:uid="{040B7B84-A086-44A2-BFEE-6D5000C339CF}"/>
    <cellStyle name="Обычный 21 5 2 2" xfId="1163" xr:uid="{B29A67BB-5ABB-4EFE-AFED-811173E619DC}"/>
    <cellStyle name="Обычный 21 5 3" xfId="924" xr:uid="{9B5AFCEC-0E6D-42EA-84DB-75AAFCC3E080}"/>
    <cellStyle name="Обычный 21 6" xfId="140" xr:uid="{040B7B84-A086-44A2-BFEE-6D5000C339CF}"/>
    <cellStyle name="Обычный 21 6 2" xfId="487" xr:uid="{040B7B84-A086-44A2-BFEE-6D5000C339CF}"/>
    <cellStyle name="Обычный 21 6 2 2" xfId="1086" xr:uid="{D23A46DE-7A54-46F7-B52B-89E02D0B258D}"/>
    <cellStyle name="Обычный 21 6 3" xfId="846" xr:uid="{85E3792F-919A-4639-87BA-B8B42C84489A}"/>
    <cellStyle name="Обычный 21 7" xfId="671" xr:uid="{040B7B84-A086-44A2-BFEE-6D5000C339CF}"/>
    <cellStyle name="Обычный 21 7 2" xfId="1220" xr:uid="{41F4BC5C-428E-4CD1-B69C-E09200AE220A}"/>
    <cellStyle name="Обычный 21 8" xfId="336" xr:uid="{040B7B84-A086-44A2-BFEE-6D5000C339CF}"/>
    <cellStyle name="Обычный 21 8 2" xfId="981" xr:uid="{475557DF-74C5-4B6A-8E8A-3E1C28E73369}"/>
    <cellStyle name="Обычный 21 9" xfId="774" xr:uid="{D8BB6F33-20BD-4E43-BDA4-C718C6ED3A43}"/>
    <cellStyle name="Обычный 3" xfId="46" xr:uid="{00000000-0005-0000-0000-00003C000000}"/>
    <cellStyle name="Обычный 3 10" xfId="326" xr:uid="{00000000-0005-0000-0000-00003C000000}"/>
    <cellStyle name="Обычный 3 10 2" xfId="971" xr:uid="{40F6F60F-411C-4470-BE1F-BA7C910317C8}"/>
    <cellStyle name="Обычный 3 11" xfId="763" xr:uid="{63BCBB7B-B773-42CC-93ED-F722C836D196}"/>
    <cellStyle name="Обычный 3 2" xfId="49" xr:uid="{00000000-0005-0000-0000-00003D000000}"/>
    <cellStyle name="Обычный 3 2 10" xfId="765" xr:uid="{D3546396-2204-437F-8C6D-F233AA6A2002}"/>
    <cellStyle name="Обычный 3 2 2" xfId="56" xr:uid="{00000000-0005-0000-0000-00003E000000}"/>
    <cellStyle name="Обычный 3 2 2 2" xfId="100" xr:uid="{00000000-0005-0000-0000-00003E000000}"/>
    <cellStyle name="Обычный 3 2 2 2 2" xfId="174" xr:uid="{00000000-0005-0000-0000-00003E000000}"/>
    <cellStyle name="Обычный 3 2 2 2 2 2" xfId="521" xr:uid="{00000000-0005-0000-0000-00003E000000}"/>
    <cellStyle name="Обычный 3 2 2 2 2 2 2" xfId="1120" xr:uid="{D6D7DBD8-4C48-4971-8BBB-E5DB5C0DF545}"/>
    <cellStyle name="Обычный 3 2 2 2 2 3" xfId="880" xr:uid="{40649FBA-0301-4CAD-8E8E-B42EC01C5DA5}"/>
    <cellStyle name="Обычный 3 2 2 2 3" xfId="449" xr:uid="{00000000-0005-0000-0000-00003E000000}"/>
    <cellStyle name="Обычный 3 2 2 2 3 2" xfId="1048" xr:uid="{C8131D07-A21D-4D9D-A667-34E4612BF933}"/>
    <cellStyle name="Обычный 3 2 2 2 4" xfId="808" xr:uid="{4A874E36-BC55-4668-888F-4A5EF3B92E5C}"/>
    <cellStyle name="Обычный 3 2 2 3" xfId="120" xr:uid="{00000000-0005-0000-0000-00003E000000}"/>
    <cellStyle name="Обычный 3 2 2 3 2" xfId="192" xr:uid="{00000000-0005-0000-0000-00003E000000}"/>
    <cellStyle name="Обычный 3 2 2 3 2 2" xfId="539" xr:uid="{00000000-0005-0000-0000-00003E000000}"/>
    <cellStyle name="Обычный 3 2 2 3 2 2 2" xfId="1138" xr:uid="{7F906AE3-81EE-4F41-AF03-20FB56A171F7}"/>
    <cellStyle name="Обычный 3 2 2 3 2 3" xfId="898" xr:uid="{087414A4-67A6-4A75-8FAC-8EC385D7346E}"/>
    <cellStyle name="Обычный 3 2 2 3 3" xfId="467" xr:uid="{00000000-0005-0000-0000-00003E000000}"/>
    <cellStyle name="Обычный 3 2 2 3 3 2" xfId="1066" xr:uid="{7536CEBF-AB21-4124-97C8-E3F07B5EFBEB}"/>
    <cellStyle name="Обычный 3 2 2 3 4" xfId="826" xr:uid="{D5E5CCE8-7AA9-490F-A6AA-0F1D4BE60422}"/>
    <cellStyle name="Обычный 3 2 2 4" xfId="81" xr:uid="{00000000-0005-0000-0000-00003E000000}"/>
    <cellStyle name="Обычный 3 2 2 4 2" xfId="156" xr:uid="{00000000-0005-0000-0000-00003E000000}"/>
    <cellStyle name="Обычный 3 2 2 4 2 2" xfId="503" xr:uid="{00000000-0005-0000-0000-00003E000000}"/>
    <cellStyle name="Обычный 3 2 2 4 2 2 2" xfId="1102" xr:uid="{AB74939A-B96C-41D4-9558-3279EB74BC15}"/>
    <cellStyle name="Обычный 3 2 2 4 2 3" xfId="862" xr:uid="{E125A9B1-7775-4A94-9596-4AD4FBDB142D}"/>
    <cellStyle name="Обычный 3 2 2 4 3" xfId="432" xr:uid="{00000000-0005-0000-0000-00003E000000}"/>
    <cellStyle name="Обычный 3 2 2 4 3 2" xfId="1031" xr:uid="{4BD9DED1-AFCC-444D-91CB-16F846D68494}"/>
    <cellStyle name="Обычный 3 2 2 4 4" xfId="790" xr:uid="{6049D108-C62A-47E7-91A0-857B02F489CD}"/>
    <cellStyle name="Обычный 3 2 2 5" xfId="224" xr:uid="{00000000-0005-0000-0000-00003E000000}"/>
    <cellStyle name="Обычный 3 2 2 5 2" xfId="564" xr:uid="{00000000-0005-0000-0000-00003E000000}"/>
    <cellStyle name="Обычный 3 2 2 5 2 2" xfId="1161" xr:uid="{8B58C201-ACE9-4F80-9458-C121AC9E3369}"/>
    <cellStyle name="Обычный 3 2 2 5 3" xfId="922" xr:uid="{A4778768-2CE8-4E17-AD84-E6571F006D58}"/>
    <cellStyle name="Обычный 3 2 2 6" xfId="138" xr:uid="{00000000-0005-0000-0000-00003E000000}"/>
    <cellStyle name="Обычный 3 2 2 6 2" xfId="485" xr:uid="{00000000-0005-0000-0000-00003E000000}"/>
    <cellStyle name="Обычный 3 2 2 6 2 2" xfId="1084" xr:uid="{AB23A73C-C489-4CFE-90BD-B8874E661AFB}"/>
    <cellStyle name="Обычный 3 2 2 6 3" xfId="844" xr:uid="{3EEAE8BA-06A3-4D20-B1AC-B5270813AD7A}"/>
    <cellStyle name="Обычный 3 2 2 7" xfId="669" xr:uid="{00000000-0005-0000-0000-00003E000000}"/>
    <cellStyle name="Обычный 3 2 2 7 2" xfId="1218" xr:uid="{4B3B52E4-89D3-44A3-9588-92AC7A1F07A9}"/>
    <cellStyle name="Обычный 3 2 2 8" xfId="334" xr:uid="{00000000-0005-0000-0000-00003E000000}"/>
    <cellStyle name="Обычный 3 2 2 8 2" xfId="979" xr:uid="{7D428630-829A-45A0-9BBC-E36653A0BE89}"/>
    <cellStyle name="Обычный 3 2 2 9" xfId="772" xr:uid="{4BE2DFEE-50D8-4F61-812E-E0FBABC9E5D2}"/>
    <cellStyle name="Обычный 3 2 3" xfId="93" xr:uid="{00000000-0005-0000-0000-00003D000000}"/>
    <cellStyle name="Обычный 3 2 3 2" xfId="167" xr:uid="{00000000-0005-0000-0000-00003D000000}"/>
    <cellStyle name="Обычный 3 2 3 2 2" xfId="514" xr:uid="{00000000-0005-0000-0000-00003D000000}"/>
    <cellStyle name="Обычный 3 2 3 2 2 2" xfId="1113" xr:uid="{08804B96-7647-4B56-AD94-7D3091A09763}"/>
    <cellStyle name="Обычный 3 2 3 2 3" xfId="873" xr:uid="{B071A212-B434-4C3C-B3ED-D2B8B01AE949}"/>
    <cellStyle name="Обычный 3 2 3 3" xfId="442" xr:uid="{00000000-0005-0000-0000-00003D000000}"/>
    <cellStyle name="Обычный 3 2 3 3 2" xfId="1041" xr:uid="{701ABBA7-9478-422E-AB86-7205DDD9D657}"/>
    <cellStyle name="Обычный 3 2 3 4" xfId="801" xr:uid="{57D0F4DF-F216-40CA-82A1-2FDA49D1F631}"/>
    <cellStyle name="Обычный 3 2 4" xfId="113" xr:uid="{00000000-0005-0000-0000-00003D000000}"/>
    <cellStyle name="Обычный 3 2 4 2" xfId="185" xr:uid="{00000000-0005-0000-0000-00003D000000}"/>
    <cellStyle name="Обычный 3 2 4 2 2" xfId="532" xr:uid="{00000000-0005-0000-0000-00003D000000}"/>
    <cellStyle name="Обычный 3 2 4 2 2 2" xfId="1131" xr:uid="{9BC9A604-57E9-468E-8AE4-C5DB155A0F9E}"/>
    <cellStyle name="Обычный 3 2 4 2 3" xfId="891" xr:uid="{E64C1F75-9BCC-4C9F-A70A-B7DCB7B17951}"/>
    <cellStyle name="Обычный 3 2 4 3" xfId="460" xr:uid="{00000000-0005-0000-0000-00003D000000}"/>
    <cellStyle name="Обычный 3 2 4 3 2" xfId="1059" xr:uid="{CF489FDC-9030-4D5F-8831-ECA28E5F1F63}"/>
    <cellStyle name="Обычный 3 2 4 4" xfId="819" xr:uid="{D9C26566-2530-405F-B832-96F913438C82}"/>
    <cellStyle name="Обычный 3 2 5" xfId="74" xr:uid="{00000000-0005-0000-0000-00003D000000}"/>
    <cellStyle name="Обычный 3 2 5 2" xfId="149" xr:uid="{00000000-0005-0000-0000-00003D000000}"/>
    <cellStyle name="Обычный 3 2 5 2 2" xfId="496" xr:uid="{00000000-0005-0000-0000-00003D000000}"/>
    <cellStyle name="Обычный 3 2 5 2 2 2" xfId="1095" xr:uid="{7A3ED46C-663D-4D0E-A1E3-564267D86C72}"/>
    <cellStyle name="Обычный 3 2 5 2 3" xfId="855" xr:uid="{B6953272-3ADE-4697-9AF2-C50396ED2E12}"/>
    <cellStyle name="Обычный 3 2 5 3" xfId="425" xr:uid="{00000000-0005-0000-0000-00003D000000}"/>
    <cellStyle name="Обычный 3 2 5 3 2" xfId="1024" xr:uid="{73D082D3-5079-433F-945E-21098C1A7836}"/>
    <cellStyle name="Обычный 3 2 5 4" xfId="783" xr:uid="{F1D795A9-F8A2-4AC5-B823-9DFBFE285A90}"/>
    <cellStyle name="Обычный 3 2 6" xfId="218" xr:uid="{00000000-0005-0000-0000-00003D000000}"/>
    <cellStyle name="Обычный 3 2 6 2" xfId="558" xr:uid="{00000000-0005-0000-0000-00003D000000}"/>
    <cellStyle name="Обычный 3 2 6 2 2" xfId="1155" xr:uid="{262E67C0-6F27-44D8-806B-6857E8A5CEF7}"/>
    <cellStyle name="Обычный 3 2 6 3" xfId="916" xr:uid="{B3A58CD8-CB01-4DE3-BA2F-B6AA71247911}"/>
    <cellStyle name="Обычный 3 2 7" xfId="131" xr:uid="{00000000-0005-0000-0000-00003D000000}"/>
    <cellStyle name="Обычный 3 2 7 2" xfId="478" xr:uid="{00000000-0005-0000-0000-00003D000000}"/>
    <cellStyle name="Обычный 3 2 7 2 2" xfId="1077" xr:uid="{DFF7B67E-BDE8-47A6-BDDE-CDB1DD48868A}"/>
    <cellStyle name="Обычный 3 2 7 3" xfId="837" xr:uid="{50A141E2-D2F4-4381-AB88-8EA31703FCBA}"/>
    <cellStyle name="Обычный 3 2 8" xfId="663" xr:uid="{00000000-0005-0000-0000-00003D000000}"/>
    <cellStyle name="Обычный 3 2 8 2" xfId="1212" xr:uid="{1B2189A6-04B2-4F98-BCC8-C924E5CE8A29}"/>
    <cellStyle name="Обычный 3 2 9" xfId="328" xr:uid="{00000000-0005-0000-0000-00003D000000}"/>
    <cellStyle name="Обычный 3 2 9 2" xfId="973" xr:uid="{61AD3D45-7607-4767-A0A7-4D31FC3763E5}"/>
    <cellStyle name="Обычный 3 3" xfId="54" xr:uid="{00000000-0005-0000-0000-00003F000000}"/>
    <cellStyle name="Обычный 3 3 2" xfId="98" xr:uid="{00000000-0005-0000-0000-00003F000000}"/>
    <cellStyle name="Обычный 3 3 2 2" xfId="172" xr:uid="{00000000-0005-0000-0000-00003F000000}"/>
    <cellStyle name="Обычный 3 3 2 2 2" xfId="519" xr:uid="{00000000-0005-0000-0000-00003F000000}"/>
    <cellStyle name="Обычный 3 3 2 2 2 2" xfId="1118" xr:uid="{28CE92BB-7DD8-445F-9F6A-C95E90A27D48}"/>
    <cellStyle name="Обычный 3 3 2 2 3" xfId="878" xr:uid="{2BAC35B6-6503-48A4-B67E-B885E25EAAF7}"/>
    <cellStyle name="Обычный 3 3 2 3" xfId="447" xr:uid="{00000000-0005-0000-0000-00003F000000}"/>
    <cellStyle name="Обычный 3 3 2 3 2" xfId="1046" xr:uid="{A99B1AF0-EF17-4154-84EE-D109158A39F5}"/>
    <cellStyle name="Обычный 3 3 2 4" xfId="806" xr:uid="{ED0B4D81-0C1C-451D-8DFC-9D01397434AB}"/>
    <cellStyle name="Обычный 3 3 3" xfId="118" xr:uid="{00000000-0005-0000-0000-00003F000000}"/>
    <cellStyle name="Обычный 3 3 3 2" xfId="190" xr:uid="{00000000-0005-0000-0000-00003F000000}"/>
    <cellStyle name="Обычный 3 3 3 2 2" xfId="537" xr:uid="{00000000-0005-0000-0000-00003F000000}"/>
    <cellStyle name="Обычный 3 3 3 2 2 2" xfId="1136" xr:uid="{082A1EB2-51AA-43EE-9ADB-60D6745F0362}"/>
    <cellStyle name="Обычный 3 3 3 2 3" xfId="896" xr:uid="{26D99633-240A-4481-BFDC-9E3DD5C260CF}"/>
    <cellStyle name="Обычный 3 3 3 3" xfId="465" xr:uid="{00000000-0005-0000-0000-00003F000000}"/>
    <cellStyle name="Обычный 3 3 3 3 2" xfId="1064" xr:uid="{D6DA3DA3-4C73-43AF-9C53-0C7DD177665A}"/>
    <cellStyle name="Обычный 3 3 3 4" xfId="824" xr:uid="{3EBD0881-4E22-4FCC-9622-8BCD150762F5}"/>
    <cellStyle name="Обычный 3 3 4" xfId="79" xr:uid="{00000000-0005-0000-0000-00003F000000}"/>
    <cellStyle name="Обычный 3 3 4 2" xfId="154" xr:uid="{00000000-0005-0000-0000-00003F000000}"/>
    <cellStyle name="Обычный 3 3 4 2 2" xfId="501" xr:uid="{00000000-0005-0000-0000-00003F000000}"/>
    <cellStyle name="Обычный 3 3 4 2 2 2" xfId="1100" xr:uid="{D2435B88-3873-4E20-A730-1DB1E2204398}"/>
    <cellStyle name="Обычный 3 3 4 2 3" xfId="860" xr:uid="{30B80CEF-40BF-44F1-80EC-F7FFA1366FD1}"/>
    <cellStyle name="Обычный 3 3 4 3" xfId="430" xr:uid="{00000000-0005-0000-0000-00003F000000}"/>
    <cellStyle name="Обычный 3 3 4 3 2" xfId="1029" xr:uid="{B21E3D9A-BE84-4301-955A-2AA473AF543C}"/>
    <cellStyle name="Обычный 3 3 4 4" xfId="788" xr:uid="{5F5C67AD-06A2-417D-BA7A-8E137616FBF0}"/>
    <cellStyle name="Обычный 3 3 5" xfId="223" xr:uid="{00000000-0005-0000-0000-00003F000000}"/>
    <cellStyle name="Обычный 3 3 5 2" xfId="563" xr:uid="{00000000-0005-0000-0000-00003F000000}"/>
    <cellStyle name="Обычный 3 3 5 2 2" xfId="1160" xr:uid="{E1029E53-ED50-479F-ADF2-4AF9425DD32A}"/>
    <cellStyle name="Обычный 3 3 5 3" xfId="921" xr:uid="{8D79C798-3A46-48ED-B0AE-286862713FD8}"/>
    <cellStyle name="Обычный 3 3 6" xfId="136" xr:uid="{00000000-0005-0000-0000-00003F000000}"/>
    <cellStyle name="Обычный 3 3 6 2" xfId="483" xr:uid="{00000000-0005-0000-0000-00003F000000}"/>
    <cellStyle name="Обычный 3 3 6 2 2" xfId="1082" xr:uid="{B3AF873F-11E7-4F63-B5DC-FDFC892ABBE3}"/>
    <cellStyle name="Обычный 3 3 6 3" xfId="842" xr:uid="{3F18ED47-E76A-445A-9A5F-F688D8C28FA1}"/>
    <cellStyle name="Обычный 3 3 7" xfId="668" xr:uid="{00000000-0005-0000-0000-00003F000000}"/>
    <cellStyle name="Обычный 3 3 7 2" xfId="1217" xr:uid="{E125AC2D-233B-4903-8F11-F4A81E14E4A8}"/>
    <cellStyle name="Обычный 3 3 8" xfId="333" xr:uid="{00000000-0005-0000-0000-00003F000000}"/>
    <cellStyle name="Обычный 3 3 8 2" xfId="978" xr:uid="{C5C49FC7-E01D-4CB8-84E6-B3C31C50D6FE}"/>
    <cellStyle name="Обычный 3 3 9" xfId="770" xr:uid="{56173D40-9366-414E-A9D3-D3CFD95F73C6}"/>
    <cellStyle name="Обычный 3 4" xfId="91" xr:uid="{00000000-0005-0000-0000-00003C000000}"/>
    <cellStyle name="Обычный 3 4 2" xfId="165" xr:uid="{00000000-0005-0000-0000-00003C000000}"/>
    <cellStyle name="Обычный 3 4 2 2" xfId="512" xr:uid="{00000000-0005-0000-0000-00003C000000}"/>
    <cellStyle name="Обычный 3 4 2 2 2" xfId="1111" xr:uid="{FE0C949A-7C48-496F-9DAE-125A24ACC1F8}"/>
    <cellStyle name="Обычный 3 4 2 3" xfId="871" xr:uid="{F4F3B80B-1B7D-4DCE-953F-4B09893F6255}"/>
    <cellStyle name="Обычный 3 4 3" xfId="441" xr:uid="{00000000-0005-0000-0000-00003C000000}"/>
    <cellStyle name="Обычный 3 4 3 2" xfId="1040" xr:uid="{7D196D64-FE59-41BA-931F-B3F844C9DAD5}"/>
    <cellStyle name="Обычный 3 4 4" xfId="799" xr:uid="{0A89F46D-8D1F-4A83-8742-DA5FAED101C0}"/>
    <cellStyle name="Обычный 3 5" xfId="111" xr:uid="{00000000-0005-0000-0000-00003C000000}"/>
    <cellStyle name="Обычный 3 5 2" xfId="183" xr:uid="{00000000-0005-0000-0000-00003C000000}"/>
    <cellStyle name="Обычный 3 5 2 2" xfId="530" xr:uid="{00000000-0005-0000-0000-00003C000000}"/>
    <cellStyle name="Обычный 3 5 2 2 2" xfId="1129" xr:uid="{BE16B6F2-D4D8-480D-8C34-C78642B8FCA0}"/>
    <cellStyle name="Обычный 3 5 2 3" xfId="889" xr:uid="{6A4EEC1D-10B8-4D4B-9D43-76C340EA39BB}"/>
    <cellStyle name="Обычный 3 5 3" xfId="458" xr:uid="{00000000-0005-0000-0000-00003C000000}"/>
    <cellStyle name="Обычный 3 5 3 2" xfId="1057" xr:uid="{E43999D0-2F53-43FC-BC05-D8D15BE5E331}"/>
    <cellStyle name="Обычный 3 5 4" xfId="817" xr:uid="{8126DB9A-B744-43F3-BB00-580D514F90BD}"/>
    <cellStyle name="Обычный 3 6" xfId="72" xr:uid="{00000000-0005-0000-0000-00003C000000}"/>
    <cellStyle name="Обычный 3 6 2" xfId="147" xr:uid="{00000000-0005-0000-0000-00003C000000}"/>
    <cellStyle name="Обычный 3 6 2 2" xfId="494" xr:uid="{00000000-0005-0000-0000-00003C000000}"/>
    <cellStyle name="Обычный 3 6 2 2 2" xfId="1093" xr:uid="{E721E3B9-BA63-47B0-833A-925BC0560071}"/>
    <cellStyle name="Обычный 3 6 2 3" xfId="853" xr:uid="{7D8FC424-7961-4079-9914-37E22867336A}"/>
    <cellStyle name="Обычный 3 6 3" xfId="423" xr:uid="{00000000-0005-0000-0000-00003C000000}"/>
    <cellStyle name="Обычный 3 6 3 2" xfId="1022" xr:uid="{81A05F79-26D6-481D-833E-10E5D18B7580}"/>
    <cellStyle name="Обычный 3 6 4" xfId="781" xr:uid="{1CD3DF66-2099-4751-A609-1F856C3460C4}"/>
    <cellStyle name="Обычный 3 7" xfId="215" xr:uid="{00000000-0005-0000-0000-00003C000000}"/>
    <cellStyle name="Обычный 3 7 2" xfId="556" xr:uid="{00000000-0005-0000-0000-00003C000000}"/>
    <cellStyle name="Обычный 3 7 2 2" xfId="1153" xr:uid="{F5803F7D-D596-4594-8A58-0C8042A3F061}"/>
    <cellStyle name="Обычный 3 7 3" xfId="914" xr:uid="{1CDAC49D-7FAD-4CA6-8EC8-1E108ED32EA6}"/>
    <cellStyle name="Обычный 3 8" xfId="129" xr:uid="{00000000-0005-0000-0000-00003C000000}"/>
    <cellStyle name="Обычный 3 8 2" xfId="476" xr:uid="{00000000-0005-0000-0000-00003C000000}"/>
    <cellStyle name="Обычный 3 8 2 2" xfId="1075" xr:uid="{2D54160E-6A2A-47C5-B503-D3AA71CBFCB5}"/>
    <cellStyle name="Обычный 3 8 3" xfId="835" xr:uid="{ACA35C39-9446-4806-BCE8-874C041F357D}"/>
    <cellStyle name="Обычный 3 9" xfId="661" xr:uid="{00000000-0005-0000-0000-00003C000000}"/>
    <cellStyle name="Обычный 3 9 2" xfId="1210" xr:uid="{98F1BBBC-37E0-4D5A-AFCE-5CBC70880F62}"/>
    <cellStyle name="Обычный 4" xfId="48" xr:uid="{00000000-0005-0000-0000-000040000000}"/>
    <cellStyle name="Обычный 4 2" xfId="217" xr:uid="{00000000-0005-0000-0000-000040000000}"/>
    <cellStyle name="Обычный 4 3" xfId="203" xr:uid="{6B846B4E-1665-44D7-B222-DC9D4383CB39}"/>
    <cellStyle name="Обычный 4 3 2" xfId="549" xr:uid="{6B846B4E-1665-44D7-B222-DC9D4383CB39}"/>
    <cellStyle name="Обычный 4 3 2 2" xfId="1148" xr:uid="{69643E99-83CF-40F9-8095-496C5FBF9B95}"/>
    <cellStyle name="Обычный 4 3 3" xfId="908" xr:uid="{0176BE75-0470-4E0D-B4D4-6B1B57AACB59}"/>
    <cellStyle name="Обычный 4 4" xfId="653" xr:uid="{6B846B4E-1665-44D7-B222-DC9D4383CB39}"/>
    <cellStyle name="Обычный 4 4 2" xfId="1204" xr:uid="{A96549C2-A56A-4E21-98DA-141EADE1A737}"/>
    <cellStyle name="Обычный 4 5" xfId="318" xr:uid="{6B846B4E-1665-44D7-B222-DC9D4383CB39}"/>
    <cellStyle name="Обычный 4 5 2" xfId="965" xr:uid="{04F41EE7-9630-40BC-B62F-FEE70D7D1171}"/>
    <cellStyle name="Обычный 5" xfId="7" xr:uid="{00000000-0005-0000-0000-000041000000}"/>
    <cellStyle name="Обычный 6" xfId="63" xr:uid="{54A40DCF-78FD-43C9-B6B2-BA36432EC48F}"/>
    <cellStyle name="Обычный 7" xfId="106" xr:uid="{3A33769C-6C97-4787-90D6-2E119E79B45B}"/>
    <cellStyle name="Обычный 7 2" xfId="230" xr:uid="{00000000-0005-0000-0000-00006D000000}"/>
    <cellStyle name="Обычный 8" xfId="209" xr:uid="{4067457B-8E55-49FB-A5C2-1F5DE63A4A9B}"/>
    <cellStyle name="Обычный 9" xfId="233" xr:uid="{00000000-0005-0000-0000-00007F000000}"/>
    <cellStyle name="Процентный" xfId="60" builtinId="5"/>
    <cellStyle name="Процентный 2" xfId="67" xr:uid="{5020090C-FF5D-40C7-9CC3-9D295EDF9EA1}"/>
    <cellStyle name="Процентный 2 2" xfId="205" xr:uid="{C2449D98-A6B9-44BF-96E4-5293789EEF05}"/>
    <cellStyle name="Процентный 2 2 2" xfId="654" xr:uid="{C2449D98-A6B9-44BF-96E4-5293789EEF05}"/>
    <cellStyle name="Процентный 2 2 2 2" xfId="1205" xr:uid="{13315075-AA96-42FE-9A36-211762F51FA0}"/>
    <cellStyle name="Процентный 2 2 3" xfId="319" xr:uid="{C2449D98-A6B9-44BF-96E4-5293789EEF05}"/>
    <cellStyle name="Процентный 2 2 3 2" xfId="966" xr:uid="{1C331104-48A5-4386-A872-EED3212E25B5}"/>
    <cellStyle name="Процентный 2 2 4" xfId="909" xr:uid="{7E987614-6EFC-44FD-931B-F26A71324F12}"/>
    <cellStyle name="Процентный 3" xfId="65" xr:uid="{447FEFAF-6398-4AF0-874C-4A501ED77784}"/>
    <cellStyle name="Процентный 4" xfId="232" xr:uid="{00000000-0005-0000-0000-0000E8000000}"/>
    <cellStyle name="Процентный 4 2" xfId="570" xr:uid="{00000000-0005-0000-0000-0000E8000000}"/>
    <cellStyle name="Процентный 4 2 2" xfId="1165" xr:uid="{FB0A8829-6FD4-4791-8A1A-A307A44E47EC}"/>
    <cellStyle name="Процентный 4 3" xfId="926" xr:uid="{E7399FC6-69A1-4704-B26E-4FB92A11E4C8}"/>
    <cellStyle name="Процентный 5" xfId="675" xr:uid="{00000000-0005-0000-0000-00009C010000}"/>
    <cellStyle name="Процентный 5 2" xfId="1222" xr:uid="{26D6C5B3-DBA2-4876-B217-8A2D05F48EDB}"/>
    <cellStyle name="Процентный 6" xfId="340" xr:uid="{00000000-0005-0000-0000-000089020000}"/>
    <cellStyle name="Процентный 6 2" xfId="983" xr:uid="{D5BF721B-4E07-4D89-B917-821B50A4252C}"/>
    <cellStyle name="Процентный 7" xfId="757" xr:uid="{C142790A-2E19-4D2E-B8AE-22DD7350CAE3}"/>
    <cellStyle name="Финансовый 2" xfId="206" xr:uid="{3E2EA4B5-0D24-48E1-9527-91DFF2D7ACF2}"/>
    <cellStyle name="Финансовый 2 10" xfId="320" xr:uid="{3E2EA4B5-0D24-48E1-9527-91DFF2D7ACF2}"/>
    <cellStyle name="Финансовый 2 2" xfId="207" xr:uid="{3E2EA4B5-0D24-48E1-9527-91DFF2D7ACF2}"/>
    <cellStyle name="Финансовый 2 2 2" xfId="229" xr:uid="{3E2EA4B5-0D24-48E1-9527-91DFF2D7ACF2}"/>
    <cellStyle name="Финансовый 2 2 2 2" xfId="239" xr:uid="{3E2EA4B5-0D24-48E1-9527-91DFF2D7ACF2}"/>
    <cellStyle name="Финансовый 2 2 2 2 2" xfId="253" xr:uid="{3E2EA4B5-0D24-48E1-9527-91DFF2D7ACF2}"/>
    <cellStyle name="Финансовый 2 2 2 2 2 2" xfId="283" xr:uid="{3E2EA4B5-0D24-48E1-9527-91DFF2D7ACF2}"/>
    <cellStyle name="Финансовый 2 2 2 2 2 2 2" xfId="723" xr:uid="{3E2EA4B5-0D24-48E1-9527-91DFF2D7ACF2}"/>
    <cellStyle name="Финансовый 2 2 2 2 2 2 3" xfId="618" xr:uid="{3E2EA4B5-0D24-48E1-9527-91DFF2D7ACF2}"/>
    <cellStyle name="Финансовый 2 2 2 2 2 2 4" xfId="388" xr:uid="{3E2EA4B5-0D24-48E1-9527-91DFF2D7ACF2}"/>
    <cellStyle name="Финансовый 2 2 2 2 2 3" xfId="311" xr:uid="{3E2EA4B5-0D24-48E1-9527-91DFF2D7ACF2}"/>
    <cellStyle name="Финансовый 2 2 2 2 2 3 2" xfId="751" xr:uid="{3E2EA4B5-0D24-48E1-9527-91DFF2D7ACF2}"/>
    <cellStyle name="Финансовый 2 2 2 2 2 3 3" xfId="646" xr:uid="{3E2EA4B5-0D24-48E1-9527-91DFF2D7ACF2}"/>
    <cellStyle name="Финансовый 2 2 2 2 2 3 4" xfId="416" xr:uid="{3E2EA4B5-0D24-48E1-9527-91DFF2D7ACF2}"/>
    <cellStyle name="Финансовый 2 2 2 2 2 4" xfId="695" xr:uid="{3E2EA4B5-0D24-48E1-9527-91DFF2D7ACF2}"/>
    <cellStyle name="Финансовый 2 2 2 2 2 5" xfId="590" xr:uid="{3E2EA4B5-0D24-48E1-9527-91DFF2D7ACF2}"/>
    <cellStyle name="Финансовый 2 2 2 2 2 6" xfId="360" xr:uid="{3E2EA4B5-0D24-48E1-9527-91DFF2D7ACF2}"/>
    <cellStyle name="Финансовый 2 2 2 2 3" xfId="267" xr:uid="{3E2EA4B5-0D24-48E1-9527-91DFF2D7ACF2}"/>
    <cellStyle name="Финансовый 2 2 2 2 3 2" xfId="709" xr:uid="{3E2EA4B5-0D24-48E1-9527-91DFF2D7ACF2}"/>
    <cellStyle name="Финансовый 2 2 2 2 3 3" xfId="604" xr:uid="{3E2EA4B5-0D24-48E1-9527-91DFF2D7ACF2}"/>
    <cellStyle name="Финансовый 2 2 2 2 3 4" xfId="374" xr:uid="{3E2EA4B5-0D24-48E1-9527-91DFF2D7ACF2}"/>
    <cellStyle name="Финансовый 2 2 2 2 4" xfId="297" xr:uid="{3E2EA4B5-0D24-48E1-9527-91DFF2D7ACF2}"/>
    <cellStyle name="Финансовый 2 2 2 2 4 2" xfId="737" xr:uid="{3E2EA4B5-0D24-48E1-9527-91DFF2D7ACF2}"/>
    <cellStyle name="Финансовый 2 2 2 2 4 3" xfId="632" xr:uid="{3E2EA4B5-0D24-48E1-9527-91DFF2D7ACF2}"/>
    <cellStyle name="Финансовый 2 2 2 2 4 4" xfId="402" xr:uid="{3E2EA4B5-0D24-48E1-9527-91DFF2D7ACF2}"/>
    <cellStyle name="Финансовый 2 2 2 2 5" xfId="681" xr:uid="{3E2EA4B5-0D24-48E1-9527-91DFF2D7ACF2}"/>
    <cellStyle name="Финансовый 2 2 2 2 6" xfId="576" xr:uid="{3E2EA4B5-0D24-48E1-9527-91DFF2D7ACF2}"/>
    <cellStyle name="Финансовый 2 2 2 2 7" xfId="346" xr:uid="{3E2EA4B5-0D24-48E1-9527-91DFF2D7ACF2}"/>
    <cellStyle name="Финансовый 2 2 2 3" xfId="246" xr:uid="{3E2EA4B5-0D24-48E1-9527-91DFF2D7ACF2}"/>
    <cellStyle name="Финансовый 2 2 2 3 2" xfId="276" xr:uid="{3E2EA4B5-0D24-48E1-9527-91DFF2D7ACF2}"/>
    <cellStyle name="Финансовый 2 2 2 3 2 2" xfId="716" xr:uid="{3E2EA4B5-0D24-48E1-9527-91DFF2D7ACF2}"/>
    <cellStyle name="Финансовый 2 2 2 3 2 3" xfId="611" xr:uid="{3E2EA4B5-0D24-48E1-9527-91DFF2D7ACF2}"/>
    <cellStyle name="Финансовый 2 2 2 3 2 4" xfId="381" xr:uid="{3E2EA4B5-0D24-48E1-9527-91DFF2D7ACF2}"/>
    <cellStyle name="Финансовый 2 2 2 3 3" xfId="304" xr:uid="{3E2EA4B5-0D24-48E1-9527-91DFF2D7ACF2}"/>
    <cellStyle name="Финансовый 2 2 2 3 3 2" xfId="744" xr:uid="{3E2EA4B5-0D24-48E1-9527-91DFF2D7ACF2}"/>
    <cellStyle name="Финансовый 2 2 2 3 3 3" xfId="639" xr:uid="{3E2EA4B5-0D24-48E1-9527-91DFF2D7ACF2}"/>
    <cellStyle name="Финансовый 2 2 2 3 3 4" xfId="409" xr:uid="{3E2EA4B5-0D24-48E1-9527-91DFF2D7ACF2}"/>
    <cellStyle name="Финансовый 2 2 2 3 4" xfId="688" xr:uid="{3E2EA4B5-0D24-48E1-9527-91DFF2D7ACF2}"/>
    <cellStyle name="Финансовый 2 2 2 3 5" xfId="583" xr:uid="{3E2EA4B5-0D24-48E1-9527-91DFF2D7ACF2}"/>
    <cellStyle name="Финансовый 2 2 2 3 6" xfId="353" xr:uid="{3E2EA4B5-0D24-48E1-9527-91DFF2D7ACF2}"/>
    <cellStyle name="Финансовый 2 2 2 4" xfId="260" xr:uid="{3E2EA4B5-0D24-48E1-9527-91DFF2D7ACF2}"/>
    <cellStyle name="Финансовый 2 2 2 4 2" xfId="702" xr:uid="{3E2EA4B5-0D24-48E1-9527-91DFF2D7ACF2}"/>
    <cellStyle name="Финансовый 2 2 2 4 3" xfId="597" xr:uid="{3E2EA4B5-0D24-48E1-9527-91DFF2D7ACF2}"/>
    <cellStyle name="Финансовый 2 2 2 4 4" xfId="367" xr:uid="{3E2EA4B5-0D24-48E1-9527-91DFF2D7ACF2}"/>
    <cellStyle name="Финансовый 2 2 2 5" xfId="290" xr:uid="{3E2EA4B5-0D24-48E1-9527-91DFF2D7ACF2}"/>
    <cellStyle name="Финансовый 2 2 2 5 2" xfId="730" xr:uid="{3E2EA4B5-0D24-48E1-9527-91DFF2D7ACF2}"/>
    <cellStyle name="Финансовый 2 2 2 5 3" xfId="625" xr:uid="{3E2EA4B5-0D24-48E1-9527-91DFF2D7ACF2}"/>
    <cellStyle name="Финансовый 2 2 2 5 4" xfId="395" xr:uid="{3E2EA4B5-0D24-48E1-9527-91DFF2D7ACF2}"/>
    <cellStyle name="Финансовый 2 2 2 6" xfId="673" xr:uid="{3E2EA4B5-0D24-48E1-9527-91DFF2D7ACF2}"/>
    <cellStyle name="Финансовый 2 2 2 7" xfId="568" xr:uid="{3E2EA4B5-0D24-48E1-9527-91DFF2D7ACF2}"/>
    <cellStyle name="Финансовый 2 2 2 8" xfId="338" xr:uid="{3E2EA4B5-0D24-48E1-9527-91DFF2D7ACF2}"/>
    <cellStyle name="Финансовый 2 2 3" xfId="237" xr:uid="{3E2EA4B5-0D24-48E1-9527-91DFF2D7ACF2}"/>
    <cellStyle name="Финансовый 2 2 3 2" xfId="251" xr:uid="{3E2EA4B5-0D24-48E1-9527-91DFF2D7ACF2}"/>
    <cellStyle name="Финансовый 2 2 3 2 2" xfId="281" xr:uid="{3E2EA4B5-0D24-48E1-9527-91DFF2D7ACF2}"/>
    <cellStyle name="Финансовый 2 2 3 2 2 2" xfId="721" xr:uid="{3E2EA4B5-0D24-48E1-9527-91DFF2D7ACF2}"/>
    <cellStyle name="Финансовый 2 2 3 2 2 3" xfId="616" xr:uid="{3E2EA4B5-0D24-48E1-9527-91DFF2D7ACF2}"/>
    <cellStyle name="Финансовый 2 2 3 2 2 4" xfId="386" xr:uid="{3E2EA4B5-0D24-48E1-9527-91DFF2D7ACF2}"/>
    <cellStyle name="Финансовый 2 2 3 2 3" xfId="309" xr:uid="{3E2EA4B5-0D24-48E1-9527-91DFF2D7ACF2}"/>
    <cellStyle name="Финансовый 2 2 3 2 3 2" xfId="749" xr:uid="{3E2EA4B5-0D24-48E1-9527-91DFF2D7ACF2}"/>
    <cellStyle name="Финансовый 2 2 3 2 3 3" xfId="644" xr:uid="{3E2EA4B5-0D24-48E1-9527-91DFF2D7ACF2}"/>
    <cellStyle name="Финансовый 2 2 3 2 3 4" xfId="414" xr:uid="{3E2EA4B5-0D24-48E1-9527-91DFF2D7ACF2}"/>
    <cellStyle name="Финансовый 2 2 3 2 4" xfId="693" xr:uid="{3E2EA4B5-0D24-48E1-9527-91DFF2D7ACF2}"/>
    <cellStyle name="Финансовый 2 2 3 2 5" xfId="588" xr:uid="{3E2EA4B5-0D24-48E1-9527-91DFF2D7ACF2}"/>
    <cellStyle name="Финансовый 2 2 3 2 6" xfId="358" xr:uid="{3E2EA4B5-0D24-48E1-9527-91DFF2D7ACF2}"/>
    <cellStyle name="Финансовый 2 2 3 3" xfId="265" xr:uid="{3E2EA4B5-0D24-48E1-9527-91DFF2D7ACF2}"/>
    <cellStyle name="Финансовый 2 2 3 3 2" xfId="707" xr:uid="{3E2EA4B5-0D24-48E1-9527-91DFF2D7ACF2}"/>
    <cellStyle name="Финансовый 2 2 3 3 3" xfId="602" xr:uid="{3E2EA4B5-0D24-48E1-9527-91DFF2D7ACF2}"/>
    <cellStyle name="Финансовый 2 2 3 3 4" xfId="372" xr:uid="{3E2EA4B5-0D24-48E1-9527-91DFF2D7ACF2}"/>
    <cellStyle name="Финансовый 2 2 3 4" xfId="295" xr:uid="{3E2EA4B5-0D24-48E1-9527-91DFF2D7ACF2}"/>
    <cellStyle name="Финансовый 2 2 3 4 2" xfId="735" xr:uid="{3E2EA4B5-0D24-48E1-9527-91DFF2D7ACF2}"/>
    <cellStyle name="Финансовый 2 2 3 4 3" xfId="630" xr:uid="{3E2EA4B5-0D24-48E1-9527-91DFF2D7ACF2}"/>
    <cellStyle name="Финансовый 2 2 3 4 4" xfId="400" xr:uid="{3E2EA4B5-0D24-48E1-9527-91DFF2D7ACF2}"/>
    <cellStyle name="Финансовый 2 2 3 5" xfId="679" xr:uid="{3E2EA4B5-0D24-48E1-9527-91DFF2D7ACF2}"/>
    <cellStyle name="Финансовый 2 2 3 6" xfId="574" xr:uid="{3E2EA4B5-0D24-48E1-9527-91DFF2D7ACF2}"/>
    <cellStyle name="Финансовый 2 2 3 7" xfId="344" xr:uid="{3E2EA4B5-0D24-48E1-9527-91DFF2D7ACF2}"/>
    <cellStyle name="Финансовый 2 2 4" xfId="244" xr:uid="{3E2EA4B5-0D24-48E1-9527-91DFF2D7ACF2}"/>
    <cellStyle name="Финансовый 2 2 4 2" xfId="274" xr:uid="{3E2EA4B5-0D24-48E1-9527-91DFF2D7ACF2}"/>
    <cellStyle name="Финансовый 2 2 4 2 2" xfId="714" xr:uid="{3E2EA4B5-0D24-48E1-9527-91DFF2D7ACF2}"/>
    <cellStyle name="Финансовый 2 2 4 2 3" xfId="609" xr:uid="{3E2EA4B5-0D24-48E1-9527-91DFF2D7ACF2}"/>
    <cellStyle name="Финансовый 2 2 4 2 4" xfId="379" xr:uid="{3E2EA4B5-0D24-48E1-9527-91DFF2D7ACF2}"/>
    <cellStyle name="Финансовый 2 2 4 3" xfId="302" xr:uid="{3E2EA4B5-0D24-48E1-9527-91DFF2D7ACF2}"/>
    <cellStyle name="Финансовый 2 2 4 3 2" xfId="742" xr:uid="{3E2EA4B5-0D24-48E1-9527-91DFF2D7ACF2}"/>
    <cellStyle name="Финансовый 2 2 4 3 3" xfId="637" xr:uid="{3E2EA4B5-0D24-48E1-9527-91DFF2D7ACF2}"/>
    <cellStyle name="Финансовый 2 2 4 3 4" xfId="407" xr:uid="{3E2EA4B5-0D24-48E1-9527-91DFF2D7ACF2}"/>
    <cellStyle name="Финансовый 2 2 4 4" xfId="686" xr:uid="{3E2EA4B5-0D24-48E1-9527-91DFF2D7ACF2}"/>
    <cellStyle name="Финансовый 2 2 4 5" xfId="581" xr:uid="{3E2EA4B5-0D24-48E1-9527-91DFF2D7ACF2}"/>
    <cellStyle name="Финансовый 2 2 4 6" xfId="351" xr:uid="{3E2EA4B5-0D24-48E1-9527-91DFF2D7ACF2}"/>
    <cellStyle name="Финансовый 2 2 5" xfId="258" xr:uid="{3E2EA4B5-0D24-48E1-9527-91DFF2D7ACF2}"/>
    <cellStyle name="Финансовый 2 2 5 2" xfId="700" xr:uid="{3E2EA4B5-0D24-48E1-9527-91DFF2D7ACF2}"/>
    <cellStyle name="Финансовый 2 2 5 3" xfId="595" xr:uid="{3E2EA4B5-0D24-48E1-9527-91DFF2D7ACF2}"/>
    <cellStyle name="Финансовый 2 2 5 4" xfId="365" xr:uid="{3E2EA4B5-0D24-48E1-9527-91DFF2D7ACF2}"/>
    <cellStyle name="Финансовый 2 2 6" xfId="288" xr:uid="{3E2EA4B5-0D24-48E1-9527-91DFF2D7ACF2}"/>
    <cellStyle name="Финансовый 2 2 6 2" xfId="728" xr:uid="{3E2EA4B5-0D24-48E1-9527-91DFF2D7ACF2}"/>
    <cellStyle name="Финансовый 2 2 6 3" xfId="623" xr:uid="{3E2EA4B5-0D24-48E1-9527-91DFF2D7ACF2}"/>
    <cellStyle name="Финансовый 2 2 6 4" xfId="393" xr:uid="{3E2EA4B5-0D24-48E1-9527-91DFF2D7ACF2}"/>
    <cellStyle name="Финансовый 2 2 7" xfId="656" xr:uid="{3E2EA4B5-0D24-48E1-9527-91DFF2D7ACF2}"/>
    <cellStyle name="Финансовый 2 2 8" xfId="551" xr:uid="{3E2EA4B5-0D24-48E1-9527-91DFF2D7ACF2}"/>
    <cellStyle name="Финансовый 2 2 9" xfId="321" xr:uid="{3E2EA4B5-0D24-48E1-9527-91DFF2D7ACF2}"/>
    <cellStyle name="Финансовый 2 3" xfId="228" xr:uid="{3E2EA4B5-0D24-48E1-9527-91DFF2D7ACF2}"/>
    <cellStyle name="Финансовый 2 3 2" xfId="238" xr:uid="{3E2EA4B5-0D24-48E1-9527-91DFF2D7ACF2}"/>
    <cellStyle name="Финансовый 2 3 2 2" xfId="252" xr:uid="{3E2EA4B5-0D24-48E1-9527-91DFF2D7ACF2}"/>
    <cellStyle name="Финансовый 2 3 2 2 2" xfId="282" xr:uid="{3E2EA4B5-0D24-48E1-9527-91DFF2D7ACF2}"/>
    <cellStyle name="Финансовый 2 3 2 2 2 2" xfId="722" xr:uid="{3E2EA4B5-0D24-48E1-9527-91DFF2D7ACF2}"/>
    <cellStyle name="Финансовый 2 3 2 2 2 3" xfId="617" xr:uid="{3E2EA4B5-0D24-48E1-9527-91DFF2D7ACF2}"/>
    <cellStyle name="Финансовый 2 3 2 2 2 4" xfId="387" xr:uid="{3E2EA4B5-0D24-48E1-9527-91DFF2D7ACF2}"/>
    <cellStyle name="Финансовый 2 3 2 2 3" xfId="310" xr:uid="{3E2EA4B5-0D24-48E1-9527-91DFF2D7ACF2}"/>
    <cellStyle name="Финансовый 2 3 2 2 3 2" xfId="750" xr:uid="{3E2EA4B5-0D24-48E1-9527-91DFF2D7ACF2}"/>
    <cellStyle name="Финансовый 2 3 2 2 3 3" xfId="645" xr:uid="{3E2EA4B5-0D24-48E1-9527-91DFF2D7ACF2}"/>
    <cellStyle name="Финансовый 2 3 2 2 3 4" xfId="415" xr:uid="{3E2EA4B5-0D24-48E1-9527-91DFF2D7ACF2}"/>
    <cellStyle name="Финансовый 2 3 2 2 4" xfId="694" xr:uid="{3E2EA4B5-0D24-48E1-9527-91DFF2D7ACF2}"/>
    <cellStyle name="Финансовый 2 3 2 2 5" xfId="589" xr:uid="{3E2EA4B5-0D24-48E1-9527-91DFF2D7ACF2}"/>
    <cellStyle name="Финансовый 2 3 2 2 6" xfId="359" xr:uid="{3E2EA4B5-0D24-48E1-9527-91DFF2D7ACF2}"/>
    <cellStyle name="Финансовый 2 3 2 3" xfId="266" xr:uid="{3E2EA4B5-0D24-48E1-9527-91DFF2D7ACF2}"/>
    <cellStyle name="Финансовый 2 3 2 3 2" xfId="708" xr:uid="{3E2EA4B5-0D24-48E1-9527-91DFF2D7ACF2}"/>
    <cellStyle name="Финансовый 2 3 2 3 3" xfId="603" xr:uid="{3E2EA4B5-0D24-48E1-9527-91DFF2D7ACF2}"/>
    <cellStyle name="Финансовый 2 3 2 3 4" xfId="373" xr:uid="{3E2EA4B5-0D24-48E1-9527-91DFF2D7ACF2}"/>
    <cellStyle name="Финансовый 2 3 2 4" xfId="296" xr:uid="{3E2EA4B5-0D24-48E1-9527-91DFF2D7ACF2}"/>
    <cellStyle name="Финансовый 2 3 2 4 2" xfId="736" xr:uid="{3E2EA4B5-0D24-48E1-9527-91DFF2D7ACF2}"/>
    <cellStyle name="Финансовый 2 3 2 4 3" xfId="631" xr:uid="{3E2EA4B5-0D24-48E1-9527-91DFF2D7ACF2}"/>
    <cellStyle name="Финансовый 2 3 2 4 4" xfId="401" xr:uid="{3E2EA4B5-0D24-48E1-9527-91DFF2D7ACF2}"/>
    <cellStyle name="Финансовый 2 3 2 5" xfId="680" xr:uid="{3E2EA4B5-0D24-48E1-9527-91DFF2D7ACF2}"/>
    <cellStyle name="Финансовый 2 3 2 6" xfId="575" xr:uid="{3E2EA4B5-0D24-48E1-9527-91DFF2D7ACF2}"/>
    <cellStyle name="Финансовый 2 3 2 7" xfId="345" xr:uid="{3E2EA4B5-0D24-48E1-9527-91DFF2D7ACF2}"/>
    <cellStyle name="Финансовый 2 3 3" xfId="245" xr:uid="{3E2EA4B5-0D24-48E1-9527-91DFF2D7ACF2}"/>
    <cellStyle name="Финансовый 2 3 3 2" xfId="275" xr:uid="{3E2EA4B5-0D24-48E1-9527-91DFF2D7ACF2}"/>
    <cellStyle name="Финансовый 2 3 3 2 2" xfId="715" xr:uid="{3E2EA4B5-0D24-48E1-9527-91DFF2D7ACF2}"/>
    <cellStyle name="Финансовый 2 3 3 2 3" xfId="610" xr:uid="{3E2EA4B5-0D24-48E1-9527-91DFF2D7ACF2}"/>
    <cellStyle name="Финансовый 2 3 3 2 4" xfId="380" xr:uid="{3E2EA4B5-0D24-48E1-9527-91DFF2D7ACF2}"/>
    <cellStyle name="Финансовый 2 3 3 3" xfId="303" xr:uid="{3E2EA4B5-0D24-48E1-9527-91DFF2D7ACF2}"/>
    <cellStyle name="Финансовый 2 3 3 3 2" xfId="743" xr:uid="{3E2EA4B5-0D24-48E1-9527-91DFF2D7ACF2}"/>
    <cellStyle name="Финансовый 2 3 3 3 3" xfId="638" xr:uid="{3E2EA4B5-0D24-48E1-9527-91DFF2D7ACF2}"/>
    <cellStyle name="Финансовый 2 3 3 3 4" xfId="408" xr:uid="{3E2EA4B5-0D24-48E1-9527-91DFF2D7ACF2}"/>
    <cellStyle name="Финансовый 2 3 3 4" xfId="687" xr:uid="{3E2EA4B5-0D24-48E1-9527-91DFF2D7ACF2}"/>
    <cellStyle name="Финансовый 2 3 3 5" xfId="582" xr:uid="{3E2EA4B5-0D24-48E1-9527-91DFF2D7ACF2}"/>
    <cellStyle name="Финансовый 2 3 3 6" xfId="352" xr:uid="{3E2EA4B5-0D24-48E1-9527-91DFF2D7ACF2}"/>
    <cellStyle name="Финансовый 2 3 4" xfId="259" xr:uid="{3E2EA4B5-0D24-48E1-9527-91DFF2D7ACF2}"/>
    <cellStyle name="Финансовый 2 3 4 2" xfId="701" xr:uid="{3E2EA4B5-0D24-48E1-9527-91DFF2D7ACF2}"/>
    <cellStyle name="Финансовый 2 3 4 3" xfId="596" xr:uid="{3E2EA4B5-0D24-48E1-9527-91DFF2D7ACF2}"/>
    <cellStyle name="Финансовый 2 3 4 4" xfId="366" xr:uid="{3E2EA4B5-0D24-48E1-9527-91DFF2D7ACF2}"/>
    <cellStyle name="Финансовый 2 3 5" xfId="289" xr:uid="{3E2EA4B5-0D24-48E1-9527-91DFF2D7ACF2}"/>
    <cellStyle name="Финансовый 2 3 5 2" xfId="729" xr:uid="{3E2EA4B5-0D24-48E1-9527-91DFF2D7ACF2}"/>
    <cellStyle name="Финансовый 2 3 5 3" xfId="624" xr:uid="{3E2EA4B5-0D24-48E1-9527-91DFF2D7ACF2}"/>
    <cellStyle name="Финансовый 2 3 5 4" xfId="394" xr:uid="{3E2EA4B5-0D24-48E1-9527-91DFF2D7ACF2}"/>
    <cellStyle name="Финансовый 2 3 6" xfId="672" xr:uid="{3E2EA4B5-0D24-48E1-9527-91DFF2D7ACF2}"/>
    <cellStyle name="Финансовый 2 3 7" xfId="567" xr:uid="{3E2EA4B5-0D24-48E1-9527-91DFF2D7ACF2}"/>
    <cellStyle name="Финансовый 2 3 8" xfId="337" xr:uid="{3E2EA4B5-0D24-48E1-9527-91DFF2D7ACF2}"/>
    <cellStyle name="Финансовый 2 4" xfId="236" xr:uid="{3E2EA4B5-0D24-48E1-9527-91DFF2D7ACF2}"/>
    <cellStyle name="Финансовый 2 4 2" xfId="250" xr:uid="{3E2EA4B5-0D24-48E1-9527-91DFF2D7ACF2}"/>
    <cellStyle name="Финансовый 2 4 2 2" xfId="280" xr:uid="{3E2EA4B5-0D24-48E1-9527-91DFF2D7ACF2}"/>
    <cellStyle name="Финансовый 2 4 2 2 2" xfId="720" xr:uid="{3E2EA4B5-0D24-48E1-9527-91DFF2D7ACF2}"/>
    <cellStyle name="Финансовый 2 4 2 2 3" xfId="615" xr:uid="{3E2EA4B5-0D24-48E1-9527-91DFF2D7ACF2}"/>
    <cellStyle name="Финансовый 2 4 2 2 4" xfId="385" xr:uid="{3E2EA4B5-0D24-48E1-9527-91DFF2D7ACF2}"/>
    <cellStyle name="Финансовый 2 4 2 3" xfId="308" xr:uid="{3E2EA4B5-0D24-48E1-9527-91DFF2D7ACF2}"/>
    <cellStyle name="Финансовый 2 4 2 3 2" xfId="748" xr:uid="{3E2EA4B5-0D24-48E1-9527-91DFF2D7ACF2}"/>
    <cellStyle name="Финансовый 2 4 2 3 3" xfId="643" xr:uid="{3E2EA4B5-0D24-48E1-9527-91DFF2D7ACF2}"/>
    <cellStyle name="Финансовый 2 4 2 3 4" xfId="413" xr:uid="{3E2EA4B5-0D24-48E1-9527-91DFF2D7ACF2}"/>
    <cellStyle name="Финансовый 2 4 2 4" xfId="692" xr:uid="{3E2EA4B5-0D24-48E1-9527-91DFF2D7ACF2}"/>
    <cellStyle name="Финансовый 2 4 2 5" xfId="587" xr:uid="{3E2EA4B5-0D24-48E1-9527-91DFF2D7ACF2}"/>
    <cellStyle name="Финансовый 2 4 2 6" xfId="357" xr:uid="{3E2EA4B5-0D24-48E1-9527-91DFF2D7ACF2}"/>
    <cellStyle name="Финансовый 2 4 3" xfId="264" xr:uid="{3E2EA4B5-0D24-48E1-9527-91DFF2D7ACF2}"/>
    <cellStyle name="Финансовый 2 4 3 2" xfId="706" xr:uid="{3E2EA4B5-0D24-48E1-9527-91DFF2D7ACF2}"/>
    <cellStyle name="Финансовый 2 4 3 3" xfId="601" xr:uid="{3E2EA4B5-0D24-48E1-9527-91DFF2D7ACF2}"/>
    <cellStyle name="Финансовый 2 4 3 4" xfId="371" xr:uid="{3E2EA4B5-0D24-48E1-9527-91DFF2D7ACF2}"/>
    <cellStyle name="Финансовый 2 4 4" xfId="294" xr:uid="{3E2EA4B5-0D24-48E1-9527-91DFF2D7ACF2}"/>
    <cellStyle name="Финансовый 2 4 4 2" xfId="734" xr:uid="{3E2EA4B5-0D24-48E1-9527-91DFF2D7ACF2}"/>
    <cellStyle name="Финансовый 2 4 4 3" xfId="629" xr:uid="{3E2EA4B5-0D24-48E1-9527-91DFF2D7ACF2}"/>
    <cellStyle name="Финансовый 2 4 4 4" xfId="399" xr:uid="{3E2EA4B5-0D24-48E1-9527-91DFF2D7ACF2}"/>
    <cellStyle name="Финансовый 2 4 5" xfId="678" xr:uid="{3E2EA4B5-0D24-48E1-9527-91DFF2D7ACF2}"/>
    <cellStyle name="Финансовый 2 4 6" xfId="573" xr:uid="{3E2EA4B5-0D24-48E1-9527-91DFF2D7ACF2}"/>
    <cellStyle name="Финансовый 2 4 7" xfId="343" xr:uid="{3E2EA4B5-0D24-48E1-9527-91DFF2D7ACF2}"/>
    <cellStyle name="Финансовый 2 5" xfId="243" xr:uid="{3E2EA4B5-0D24-48E1-9527-91DFF2D7ACF2}"/>
    <cellStyle name="Финансовый 2 5 2" xfId="273" xr:uid="{3E2EA4B5-0D24-48E1-9527-91DFF2D7ACF2}"/>
    <cellStyle name="Финансовый 2 5 2 2" xfId="713" xr:uid="{3E2EA4B5-0D24-48E1-9527-91DFF2D7ACF2}"/>
    <cellStyle name="Финансовый 2 5 2 3" xfId="608" xr:uid="{3E2EA4B5-0D24-48E1-9527-91DFF2D7ACF2}"/>
    <cellStyle name="Финансовый 2 5 2 4" xfId="378" xr:uid="{3E2EA4B5-0D24-48E1-9527-91DFF2D7ACF2}"/>
    <cellStyle name="Финансовый 2 5 3" xfId="301" xr:uid="{3E2EA4B5-0D24-48E1-9527-91DFF2D7ACF2}"/>
    <cellStyle name="Финансовый 2 5 3 2" xfId="741" xr:uid="{3E2EA4B5-0D24-48E1-9527-91DFF2D7ACF2}"/>
    <cellStyle name="Финансовый 2 5 3 3" xfId="636" xr:uid="{3E2EA4B5-0D24-48E1-9527-91DFF2D7ACF2}"/>
    <cellStyle name="Финансовый 2 5 3 4" xfId="406" xr:uid="{3E2EA4B5-0D24-48E1-9527-91DFF2D7ACF2}"/>
    <cellStyle name="Финансовый 2 5 4" xfId="685" xr:uid="{3E2EA4B5-0D24-48E1-9527-91DFF2D7ACF2}"/>
    <cellStyle name="Финансовый 2 5 5" xfId="580" xr:uid="{3E2EA4B5-0D24-48E1-9527-91DFF2D7ACF2}"/>
    <cellStyle name="Финансовый 2 5 6" xfId="350" xr:uid="{3E2EA4B5-0D24-48E1-9527-91DFF2D7ACF2}"/>
    <cellStyle name="Финансовый 2 6" xfId="257" xr:uid="{3E2EA4B5-0D24-48E1-9527-91DFF2D7ACF2}"/>
    <cellStyle name="Финансовый 2 6 2" xfId="699" xr:uid="{3E2EA4B5-0D24-48E1-9527-91DFF2D7ACF2}"/>
    <cellStyle name="Финансовый 2 6 3" xfId="594" xr:uid="{3E2EA4B5-0D24-48E1-9527-91DFF2D7ACF2}"/>
    <cellStyle name="Финансовый 2 6 4" xfId="364" xr:uid="{3E2EA4B5-0D24-48E1-9527-91DFF2D7ACF2}"/>
    <cellStyle name="Финансовый 2 7" xfId="287" xr:uid="{3E2EA4B5-0D24-48E1-9527-91DFF2D7ACF2}"/>
    <cellStyle name="Финансовый 2 7 2" xfId="727" xr:uid="{3E2EA4B5-0D24-48E1-9527-91DFF2D7ACF2}"/>
    <cellStyle name="Финансовый 2 7 3" xfId="622" xr:uid="{3E2EA4B5-0D24-48E1-9527-91DFF2D7ACF2}"/>
    <cellStyle name="Финансовый 2 7 4" xfId="392" xr:uid="{3E2EA4B5-0D24-48E1-9527-91DFF2D7ACF2}"/>
    <cellStyle name="Финансовый 2 8" xfId="655" xr:uid="{3E2EA4B5-0D24-48E1-9527-91DFF2D7ACF2}"/>
    <cellStyle name="Финансовый 2 9" xfId="550" xr:uid="{3E2EA4B5-0D24-48E1-9527-91DFF2D7ACF2}"/>
    <cellStyle name="Финансовый 3" xfId="756" xr:uid="{EA0D9BED-0CD2-445A-96A9-B94F1157991C}"/>
    <cellStyle name="Финансовый 3 2" xfId="1259" xr:uid="{05A93E5E-19D6-4996-8A05-02B44130F9B9}"/>
    <cellStyle name="常规 2 44" xfId="227" xr:uid="{400E96C2-D8A0-4000-A425-C6D18DA9AFB3}"/>
    <cellStyle name="常规 3" xfId="208" xr:uid="{538E28E5-F6E3-4104-9EEA-9D05BE462BB8}"/>
    <cellStyle name="常规_测点清单" xfId="269" xr:uid="{C240CA39-7AEF-4114-AAEC-86858A7E74E6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indexed="64"/>
        </top>
        <bottom/>
      </border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 style="thin">
          <color theme="0"/>
        </bottom>
        <vertical/>
        <horizontal/>
      </border>
    </dxf>
    <dxf>
      <border outline="0">
        <right style="thin">
          <color theme="0"/>
        </right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FFFF99"/>
      <color rgb="FF97E4FF"/>
      <color rgb="FFFFED9F"/>
      <color rgb="FFFFFFCC"/>
      <color rgb="FF333300"/>
      <color rgb="FFFFDB43"/>
      <color rgb="FFF6FBFC"/>
      <color rgb="FFEBF6F9"/>
      <color rgb="FFF3FAFB"/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4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04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88067" name="Button 3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04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5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05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05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6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99330" name="Button 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6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99331" name="Button 3" hidden="1">
              <a:extLst>
                <a:ext uri="{63B3BB69-23CF-44E3-9099-C40C66FF867C}">
                  <a14:compatExt spid="_x0000_s99331"/>
                </a:ext>
                <a:ext uri="{FF2B5EF4-FFF2-40B4-BE49-F238E27FC236}">
                  <a16:creationId xmlns:a16="http://schemas.microsoft.com/office/drawing/2014/main" id="{00000000-0008-0000-0600-00000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07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07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  <a:ext uri="{FF2B5EF4-FFF2-40B4-BE49-F238E27FC236}">
                  <a16:creationId xmlns:a16="http://schemas.microsoft.com/office/drawing/2014/main" id="{00000000-0008-0000-0700-00000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8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8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1379" name="Button 3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8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9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9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2403" name="Button 3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9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A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A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3427" name="Button 3" hidden="1">
              <a:extLst>
                <a:ext uri="{63B3BB69-23CF-44E3-9099-C40C66FF867C}">
                  <a14:compatExt spid="_x0000_s103427"/>
                </a:ext>
                <a:ext uri="{FF2B5EF4-FFF2-40B4-BE49-F238E27FC236}">
                  <a16:creationId xmlns:a16="http://schemas.microsoft.com/office/drawing/2014/main" id="{00000000-0008-0000-0A00-00000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0B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0B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  <a:ext uri="{FF2B5EF4-FFF2-40B4-BE49-F238E27FC236}">
                  <a16:creationId xmlns:a16="http://schemas.microsoft.com/office/drawing/2014/main" id="{00000000-0008-0000-0B00-00000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C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5474" name="Button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C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5475" name="Button 3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C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D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6498" name="Button 2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D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6499" name="Button 3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D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0E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0E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0E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2641" name="Button 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0F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2642" name="Button 2" hidden="1">
              <a:extLst>
                <a:ext uri="{63B3BB69-23CF-44E3-9099-C40C66FF867C}">
                  <a14:compatExt spid="_x0000_s112642"/>
                </a:ext>
                <a:ext uri="{FF2B5EF4-FFF2-40B4-BE49-F238E27FC236}">
                  <a16:creationId xmlns:a16="http://schemas.microsoft.com/office/drawing/2014/main" id="{00000000-0008-0000-0F00-000002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2643" name="Button 3" hidden="1">
              <a:extLst>
                <a:ext uri="{63B3BB69-23CF-44E3-9099-C40C66FF867C}">
                  <a14:compatExt spid="_x0000_s112643"/>
                </a:ext>
                <a:ext uri="{FF2B5EF4-FFF2-40B4-BE49-F238E27FC236}">
                  <a16:creationId xmlns:a16="http://schemas.microsoft.com/office/drawing/2014/main" id="{00000000-0008-0000-0F00-000003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0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3666" name="Button 2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0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3667" name="Button 3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10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11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11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4691" name="Button 3" hidden="1">
              <a:extLst>
                <a:ext uri="{63B3BB69-23CF-44E3-9099-C40C66FF867C}">
                  <a14:compatExt spid="_x0000_s114691"/>
                </a:ext>
                <a:ext uri="{FF2B5EF4-FFF2-40B4-BE49-F238E27FC236}">
                  <a16:creationId xmlns:a16="http://schemas.microsoft.com/office/drawing/2014/main" id="{00000000-0008-0000-1100-00000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2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12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5715" name="Button 3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12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13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6738" name="Button 2" hidden="1">
              <a:extLst>
                <a:ext uri="{63B3BB69-23CF-44E3-9099-C40C66FF867C}">
                  <a14:compatExt spid="_x0000_s116738"/>
                </a:ext>
                <a:ext uri="{FF2B5EF4-FFF2-40B4-BE49-F238E27FC236}">
                  <a16:creationId xmlns:a16="http://schemas.microsoft.com/office/drawing/2014/main" id="{00000000-0008-0000-1300-000002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6739" name="Button 3" hidden="1">
              <a:extLst>
                <a:ext uri="{63B3BB69-23CF-44E3-9099-C40C66FF867C}">
                  <a14:compatExt spid="_x0000_s116739"/>
                </a:ext>
                <a:ext uri="{FF2B5EF4-FFF2-40B4-BE49-F238E27FC236}">
                  <a16:creationId xmlns:a16="http://schemas.microsoft.com/office/drawing/2014/main" id="{00000000-0008-0000-1300-000003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14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14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14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23</xdr:row>
          <xdr:rowOff>9525</xdr:rowOff>
        </xdr:from>
        <xdr:to>
          <xdr:col>0</xdr:col>
          <xdr:colOff>447675</xdr:colOff>
          <xdr:row>23</xdr:row>
          <xdr:rowOff>285750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15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17</xdr:row>
          <xdr:rowOff>9525</xdr:rowOff>
        </xdr:from>
        <xdr:to>
          <xdr:col>0</xdr:col>
          <xdr:colOff>447675</xdr:colOff>
          <xdr:row>17</xdr:row>
          <xdr:rowOff>285750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15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23</xdr:row>
          <xdr:rowOff>9525</xdr:rowOff>
        </xdr:from>
        <xdr:to>
          <xdr:col>0</xdr:col>
          <xdr:colOff>447675</xdr:colOff>
          <xdr:row>23</xdr:row>
          <xdr:rowOff>285750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1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1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C0F57B-9E65-4255-BE34-6F6B258BC697}" name="PLC_WB7" displayName="PLC_WB7" ref="G13:M33" totalsRowShown="0" headerRowDxfId="76" dataDxfId="74" headerRowBorderDxfId="75" tableBorderDxfId="73" totalsRowBorderDxfId="72">
  <autoFilter ref="G13:M33" xr:uid="{B7321CCE-49AD-4380-BAC1-CD51F0CE6D79}"/>
  <tableColumns count="7">
    <tableColumn id="1" xr3:uid="{268380CE-D2E4-4E5F-BCC8-8F127D8F2665}" name="N10" dataDxfId="71"/>
    <tableColumn id="2" xr3:uid="{8547A9A1-B0BC-444A-AB1D-3376521781B1}" name="N100" dataDxfId="70"/>
    <tableColumn id="3" xr3:uid="{D651EE52-168D-45C5-B00E-38AA436C380E}" name="N500" dataDxfId="69"/>
    <tableColumn id="4" xr3:uid="{48E38327-BC69-40AB-BF5B-EE10D0985D5E}" name="N1000" dataDxfId="68"/>
    <tableColumn id="5" xr3:uid="{BC5DECE5-1300-4818-8378-5DEB3575263B}" name="N2500" dataDxfId="67"/>
    <tableColumn id="6" xr3:uid="{1221AED7-BB50-4F07-BDD0-815C4AA67DC7}" name="N5000" dataDxfId="66"/>
    <tableColumn id="7" xr3:uid="{FFADAAFE-53A4-4C0F-AFBA-5B028186DFFD}" name="N10000" dataDxfId="6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A1D94-FD7C-417F-8134-D443405F7FBA}" name="PLC_WB710" displayName="PLC_WB710" ref="G36:M56" totalsRowShown="0" headerRowDxfId="64" dataDxfId="62" headerRowBorderDxfId="63" tableBorderDxfId="61" totalsRowBorderDxfId="60">
  <autoFilter ref="G36:M56" xr:uid="{C438CA3F-464E-4927-9D2A-C9D7D27E5EB1}"/>
  <tableColumns count="7">
    <tableColumn id="1" xr3:uid="{707A7E30-89C3-4247-81E6-65D95131244E}" name="N10" dataDxfId="59"/>
    <tableColumn id="2" xr3:uid="{FDD97FD6-2C0A-401E-A50E-F9F6BA1D4F4C}" name="N100" dataDxfId="58"/>
    <tableColumn id="3" xr3:uid="{B2C955A6-C5D8-41C0-B2E9-C4DF49B92209}" name="N500" dataDxfId="57"/>
    <tableColumn id="4" xr3:uid="{D831FB22-2B84-4F6D-BEC9-04A10737020C}" name="N1000" dataDxfId="56"/>
    <tableColumn id="5" xr3:uid="{6FA7D9D1-3550-4689-B1F3-61B79E49D570}" name="N2500" dataDxfId="55"/>
    <tableColumn id="6" xr3:uid="{EB58EE94-9A54-4BD1-B1EA-C7838B218CC5}" name="N5000" dataDxfId="54"/>
    <tableColumn id="7" xr3:uid="{1E5510FB-34CE-4A32-8CA4-50D835F06028}" name="N10000" dataDxfId="5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828CAD-5FD7-4152-865A-1922C5B71D5A}" name="Таблица14" displayName="Таблица14" ref="V42:V46" totalsRowShown="0" headerRowDxfId="32" headerRowBorderDxfId="31" tableBorderDxfId="30" totalsRowBorderDxfId="29">
  <autoFilter ref="V42:V46" xr:uid="{344C74B0-4317-4EA5-BA01-47CD3F825922}"/>
  <tableColumns count="1">
    <tableColumn id="1" xr3:uid="{6100FE0A-8685-4B76-B467-43B2CB579D58}" name="Департамент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8F6D6-1895-4982-BD33-03623FBF2959}" name="Таблица45" displayName="Таблица45" ref="W42:W52" totalsRowShown="0" headerRowDxfId="28" headerRowBorderDxfId="27" tableBorderDxfId="26" totalsRowBorderDxfId="25" dataCellStyle="Обычный 2">
  <autoFilter ref="W42:W52" xr:uid="{DAE46447-A58D-40F7-8989-F562A4F7C5B6}"/>
  <tableColumns count="1">
    <tableColumn id="1" xr3:uid="{9C759423-350F-4E3F-8193-FC6BD2591671}" name="Должность" dataDxfId="24" dataCellStyle="Обычный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C630A56-7D93-4178-AD50-73E85062C6AD}" name="Таблица5" displayName="Таблица5" ref="X42:X63" totalsRowShown="0" headerRowDxfId="23" dataDxfId="21" headerRowBorderDxfId="22" tableBorderDxfId="20" totalsRowBorderDxfId="19">
  <autoFilter ref="X42:X63" xr:uid="{E2D742A4-4309-4350-BA5D-39CCA47A32B1}"/>
  <tableColumns count="1">
    <tableColumn id="1" xr3:uid="{2BD46160-70A7-496A-B7AA-67857C746B27}" name="Специалисты" dataDxfId="1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79AA56-5A58-428D-87CB-70D152D655E5}" name="Таблица2" displayName="Таблица2" ref="AB44:AB60" totalsRowShown="0" headerRowDxfId="17" dataDxfId="15" headerRowBorderDxfId="16" tableBorderDxfId="14">
  <autoFilter ref="AB44:AB60" xr:uid="{F01B240F-8318-44DA-BFE6-FCFAC73405AB}"/>
  <tableColumns count="1">
    <tableColumn id="1" xr3:uid="{18C9D3D9-5600-44A1-86E1-0B8F981450CB}" name="Обследование площадки" dataDxfId="13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51A536-A6C2-4A0E-887A-EE96222D8FDC}" name="Таблица3" displayName="Таблица3" ref="AA45:AA46" totalsRowShown="0" headerRowDxfId="12" dataDxfId="11">
  <autoFilter ref="AA45:AA46" xr:uid="{F6255D64-4FB4-4BD7-B073-53B6EE13CC7F}"/>
  <tableColumns count="1">
    <tableColumn id="1" xr3:uid="{9C0094EE-CE5F-4270-8FB4-AF8328216B3B}" name="да" dataDxfId="10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BEF450-D889-4B5B-B5BC-B988BEF78ECA}" name="Price" displayName="Price" ref="E3:K23" totalsRowShown="0" headerRowDxfId="9" dataDxfId="8" tableBorderDxfId="7">
  <autoFilter ref="E3:K23" xr:uid="{4C82897F-A9A0-41F4-81C9-57919C84BEA5}"/>
  <tableColumns count="7">
    <tableColumn id="1" xr3:uid="{F0644C59-5E07-4312-92C0-E8058BAB9A37}" name="N10" dataDxfId="6"/>
    <tableColumn id="2" xr3:uid="{DB570D5C-0217-46B5-8330-E9DED4409846}" name="100" dataDxfId="5"/>
    <tableColumn id="3" xr3:uid="{34FBF533-F361-407A-8868-8211F7AE378A}" name="500" dataDxfId="4"/>
    <tableColumn id="4" xr3:uid="{9D203493-F5AF-4960-8407-9E79E2EC883C}" name="1000" dataDxfId="3"/>
    <tableColumn id="5" xr3:uid="{EFD67313-8A76-472F-81F6-27B4C6443732}" name="2500" dataDxfId="2"/>
    <tableColumn id="6" xr3:uid="{E355C7AE-3017-4AE8-9F31-A64AE4E80084}" name="5000" dataDxfId="1"/>
    <tableColumn id="7" xr3:uid="{1E260F88-7215-4261-925F-FEB998FA774D}" name="1000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3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BF3CB-511A-4323-9CE5-6116C6872C89}">
  <sheetPr codeName="Лист2">
    <tabColor theme="0" tint="-0.249977111117893"/>
  </sheetPr>
  <dimension ref="B4:C28"/>
  <sheetViews>
    <sheetView workbookViewId="0"/>
  </sheetViews>
  <sheetFormatPr defaultRowHeight="12.75"/>
  <cols>
    <col min="2" max="2" width="13.140625" customWidth="1"/>
    <col min="3" max="3" width="74.85546875" customWidth="1"/>
  </cols>
  <sheetData>
    <row r="4" spans="2:3">
      <c r="B4" s="60" t="s">
        <v>103</v>
      </c>
      <c r="C4" s="73">
        <v>0</v>
      </c>
    </row>
    <row r="5" spans="2:3">
      <c r="B5" s="63" t="s">
        <v>104</v>
      </c>
      <c r="C5" s="61" t="s">
        <v>0</v>
      </c>
    </row>
    <row r="6" spans="2:3">
      <c r="B6" s="58"/>
      <c r="C6" s="59"/>
    </row>
    <row r="7" spans="2:3">
      <c r="B7" s="58"/>
      <c r="C7" s="59"/>
    </row>
    <row r="8" spans="2:3">
      <c r="B8" s="58"/>
      <c r="C8" s="58"/>
    </row>
    <row r="9" spans="2:3">
      <c r="B9" s="58"/>
      <c r="C9" s="96"/>
    </row>
    <row r="10" spans="2:3">
      <c r="B10" s="58"/>
      <c r="C10" s="96"/>
    </row>
    <row r="11" spans="2:3">
      <c r="B11" s="98"/>
      <c r="C11" s="96"/>
    </row>
    <row r="12" spans="2:3">
      <c r="B12" s="98"/>
      <c r="C12" s="96"/>
    </row>
    <row r="13" spans="2:3">
      <c r="B13" s="98"/>
      <c r="C13" s="96"/>
    </row>
    <row r="14" spans="2:3">
      <c r="B14" s="98"/>
      <c r="C14" s="58"/>
    </row>
    <row r="15" spans="2:3">
      <c r="B15" s="62"/>
      <c r="C15" s="62"/>
    </row>
    <row r="16" spans="2:3">
      <c r="B16" s="61" t="s">
        <v>99</v>
      </c>
      <c r="C16" s="61" t="s">
        <v>0</v>
      </c>
    </row>
    <row r="17" spans="2:3">
      <c r="B17" s="323"/>
      <c r="C17" s="54" t="s">
        <v>222</v>
      </c>
    </row>
    <row r="18" spans="2:3">
      <c r="B18" s="356"/>
      <c r="C18" s="54" t="s">
        <v>223</v>
      </c>
    </row>
    <row r="19" spans="2:3">
      <c r="B19" s="91"/>
      <c r="C19" s="54" t="s">
        <v>116</v>
      </c>
    </row>
    <row r="20" spans="2:3">
      <c r="B20" s="56"/>
      <c r="C20" s="54" t="s">
        <v>101</v>
      </c>
    </row>
    <row r="21" spans="2:3">
      <c r="B21" s="57"/>
      <c r="C21" s="54" t="s">
        <v>102</v>
      </c>
    </row>
    <row r="22" spans="2:3">
      <c r="B22" s="55"/>
      <c r="C22" s="54" t="s">
        <v>100</v>
      </c>
    </row>
    <row r="23" spans="2:3" ht="14.25">
      <c r="B23" s="281"/>
      <c r="C23" s="96" t="s">
        <v>237</v>
      </c>
    </row>
    <row r="24" spans="2:3">
      <c r="B24" s="98"/>
      <c r="C24" s="58"/>
    </row>
    <row r="25" spans="2:3">
      <c r="B25" s="98"/>
      <c r="C25" s="58"/>
    </row>
    <row r="26" spans="2:3">
      <c r="B26" s="98"/>
      <c r="C26" s="58"/>
    </row>
    <row r="27" spans="2:3">
      <c r="B27" s="54" t="s">
        <v>110</v>
      </c>
      <c r="C27" s="54" t="s">
        <v>111</v>
      </c>
    </row>
    <row r="28" spans="2:3">
      <c r="B28" s="59"/>
      <c r="C28" s="59"/>
    </row>
  </sheetData>
  <pageMargins left="0.7" right="0.7" top="0.75" bottom="0.75" header="0.3" footer="0.3"/>
  <pageSetup paperSize="9" scale="92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36207-C575-4769-954B-575D017022E0}">
  <sheetPr codeName="Лист17">
    <tabColor rgb="FFFFC000"/>
  </sheetPr>
  <dimension ref="B1:I126"/>
  <sheetViews>
    <sheetView workbookViewId="0"/>
  </sheetViews>
  <sheetFormatPr defaultRowHeight="12.75"/>
  <cols>
    <col min="2" max="2" width="19.42578125" customWidth="1"/>
    <col min="3" max="3" width="54.140625" customWidth="1"/>
    <col min="5" max="5" width="34.7109375" bestFit="1" customWidth="1"/>
    <col min="6" max="6" width="15.85546875" style="328" customWidth="1"/>
    <col min="8" max="8" width="35.140625" bestFit="1" customWidth="1"/>
    <col min="9" max="9" width="9.140625" style="325"/>
  </cols>
  <sheetData>
    <row r="1" spans="2:9" ht="13.5" thickBot="1"/>
    <row r="2" spans="2:9" ht="15.75" thickBot="1">
      <c r="B2" s="331" t="s">
        <v>224</v>
      </c>
      <c r="C2" s="332" t="s">
        <v>286</v>
      </c>
      <c r="E2" s="324" t="s">
        <v>112</v>
      </c>
      <c r="F2" s="326" t="s">
        <v>229</v>
      </c>
      <c r="H2" s="324" t="s">
        <v>113</v>
      </c>
      <c r="I2" s="326" t="s">
        <v>229</v>
      </c>
    </row>
    <row r="3" spans="2:9" ht="15" thickBot="1">
      <c r="B3" s="333" t="s">
        <v>225</v>
      </c>
      <c r="C3" s="334"/>
      <c r="E3" s="330" t="s">
        <v>234</v>
      </c>
      <c r="F3" s="327">
        <v>0.25</v>
      </c>
      <c r="H3" s="330" t="s">
        <v>231</v>
      </c>
      <c r="I3" s="327">
        <v>0</v>
      </c>
    </row>
    <row r="4" spans="2:9" ht="15" thickBot="1">
      <c r="B4" s="333" t="s">
        <v>226</v>
      </c>
      <c r="C4" s="334"/>
      <c r="E4" s="330" t="s">
        <v>216</v>
      </c>
      <c r="F4" s="327">
        <v>0.05</v>
      </c>
      <c r="H4" s="330" t="s">
        <v>232</v>
      </c>
      <c r="I4" s="327">
        <v>0</v>
      </c>
    </row>
    <row r="5" spans="2:9" ht="15" thickBot="1">
      <c r="B5" s="335" t="s">
        <v>227</v>
      </c>
      <c r="C5" s="336" t="s">
        <v>228</v>
      </c>
      <c r="E5" s="330" t="s">
        <v>217</v>
      </c>
      <c r="F5" s="327">
        <v>0.05</v>
      </c>
      <c r="H5" s="330" t="s">
        <v>233</v>
      </c>
      <c r="I5" s="327">
        <v>0</v>
      </c>
    </row>
    <row r="6" spans="2:9" ht="14.25">
      <c r="E6" s="330" t="s">
        <v>238</v>
      </c>
      <c r="F6" s="327">
        <v>0.35</v>
      </c>
      <c r="H6" s="330" t="s">
        <v>230</v>
      </c>
      <c r="I6" s="327">
        <v>0</v>
      </c>
    </row>
    <row r="7" spans="2:9" ht="15" thickBot="1">
      <c r="E7" s="358" t="s">
        <v>235</v>
      </c>
      <c r="F7" s="329">
        <v>0.35</v>
      </c>
      <c r="H7" s="330" t="s">
        <v>254</v>
      </c>
      <c r="I7" s="327">
        <v>0</v>
      </c>
    </row>
    <row r="8" spans="2:9" ht="14.25">
      <c r="F8" s="325"/>
      <c r="H8" s="330" t="s">
        <v>239</v>
      </c>
      <c r="I8" s="327">
        <v>0</v>
      </c>
    </row>
    <row r="9" spans="2:9" ht="15" thickBot="1">
      <c r="F9" s="325"/>
      <c r="H9" s="358" t="s">
        <v>236</v>
      </c>
      <c r="I9" s="329">
        <v>0</v>
      </c>
    </row>
    <row r="10" spans="2:9">
      <c r="F10" s="325"/>
    </row>
    <row r="11" spans="2:9">
      <c r="F11" s="325"/>
    </row>
    <row r="12" spans="2:9">
      <c r="F12" s="325"/>
    </row>
    <row r="13" spans="2:9">
      <c r="F13" s="325"/>
    </row>
    <row r="14" spans="2:9">
      <c r="F14" s="325"/>
    </row>
    <row r="15" spans="2:9">
      <c r="F15" s="325"/>
    </row>
    <row r="16" spans="2:9">
      <c r="F16" s="325"/>
    </row>
    <row r="17" spans="6:6">
      <c r="F17" s="325"/>
    </row>
    <row r="18" spans="6:6">
      <c r="F18" s="325"/>
    </row>
    <row r="19" spans="6:6">
      <c r="F19" s="325"/>
    </row>
    <row r="20" spans="6:6">
      <c r="F20" s="325"/>
    </row>
    <row r="21" spans="6:6">
      <c r="F21" s="325"/>
    </row>
    <row r="22" spans="6:6">
      <c r="F22" s="325"/>
    </row>
    <row r="23" spans="6:6">
      <c r="F23" s="325"/>
    </row>
    <row r="24" spans="6:6">
      <c r="F24" s="325"/>
    </row>
    <row r="25" spans="6:6">
      <c r="F25" s="325"/>
    </row>
    <row r="26" spans="6:6">
      <c r="F26" s="325"/>
    </row>
    <row r="27" spans="6:6">
      <c r="F27" s="325"/>
    </row>
    <row r="28" spans="6:6">
      <c r="F28" s="325"/>
    </row>
    <row r="29" spans="6:6">
      <c r="F29" s="325"/>
    </row>
    <row r="30" spans="6:6">
      <c r="F30" s="325"/>
    </row>
    <row r="31" spans="6:6">
      <c r="F31" s="325"/>
    </row>
    <row r="32" spans="6:6">
      <c r="F32" s="325"/>
    </row>
    <row r="33" spans="6:6">
      <c r="F33" s="325"/>
    </row>
    <row r="34" spans="6:6">
      <c r="F34" s="325"/>
    </row>
    <row r="35" spans="6:6">
      <c r="F35" s="325"/>
    </row>
    <row r="36" spans="6:6">
      <c r="F36" s="325"/>
    </row>
    <row r="37" spans="6:6">
      <c r="F37" s="325"/>
    </row>
    <row r="38" spans="6:6">
      <c r="F38" s="325"/>
    </row>
    <row r="39" spans="6:6">
      <c r="F39" s="325"/>
    </row>
    <row r="40" spans="6:6">
      <c r="F40" s="325"/>
    </row>
    <row r="41" spans="6:6">
      <c r="F41" s="325"/>
    </row>
    <row r="42" spans="6:6">
      <c r="F42" s="325"/>
    </row>
    <row r="43" spans="6:6">
      <c r="F43" s="325"/>
    </row>
    <row r="44" spans="6:6">
      <c r="F44" s="325"/>
    </row>
    <row r="45" spans="6:6">
      <c r="F45" s="325"/>
    </row>
    <row r="46" spans="6:6">
      <c r="F46" s="325"/>
    </row>
    <row r="47" spans="6:6">
      <c r="F47" s="325"/>
    </row>
    <row r="48" spans="6:6">
      <c r="F48" s="325"/>
    </row>
    <row r="49" spans="3:6">
      <c r="F49" s="325"/>
    </row>
    <row r="50" spans="3:6">
      <c r="F50" s="325"/>
    </row>
    <row r="51" spans="3:6">
      <c r="F51" s="325"/>
    </row>
    <row r="52" spans="3:6">
      <c r="F52" s="325"/>
    </row>
    <row r="53" spans="3:6">
      <c r="F53" s="325"/>
    </row>
    <row r="54" spans="3:6">
      <c r="F54" s="325"/>
    </row>
    <row r="55" spans="3:6">
      <c r="F55" s="325"/>
    </row>
    <row r="56" spans="3:6">
      <c r="F56" s="325"/>
    </row>
    <row r="57" spans="3:6">
      <c r="F57" s="325"/>
    </row>
    <row r="58" spans="3:6">
      <c r="F58" s="325"/>
    </row>
    <row r="59" spans="3:6">
      <c r="F59" s="325"/>
    </row>
    <row r="60" spans="3:6">
      <c r="F60" s="325"/>
    </row>
    <row r="61" spans="3:6">
      <c r="F61" s="325"/>
    </row>
    <row r="62" spans="3:6">
      <c r="C62" s="325"/>
      <c r="F62" s="325"/>
    </row>
    <row r="63" spans="3:6">
      <c r="C63" s="325"/>
      <c r="F63" s="325"/>
    </row>
    <row r="64" spans="3:6">
      <c r="C64" s="325"/>
      <c r="F64" s="325"/>
    </row>
    <row r="65" spans="3:6">
      <c r="C65" s="325"/>
      <c r="F65" s="325"/>
    </row>
    <row r="66" spans="3:6">
      <c r="C66" s="325"/>
      <c r="F66" s="325"/>
    </row>
    <row r="67" spans="3:6">
      <c r="C67" s="325"/>
      <c r="F67" s="325"/>
    </row>
    <row r="68" spans="3:6">
      <c r="C68" s="325"/>
      <c r="F68" s="325"/>
    </row>
    <row r="69" spans="3:6">
      <c r="C69" s="325"/>
      <c r="F69" s="325"/>
    </row>
    <row r="70" spans="3:6">
      <c r="C70" s="325"/>
      <c r="F70" s="325"/>
    </row>
    <row r="71" spans="3:6">
      <c r="C71" s="325"/>
      <c r="F71" s="325"/>
    </row>
    <row r="72" spans="3:6">
      <c r="C72" s="325"/>
    </row>
    <row r="73" spans="3:6">
      <c r="C73" s="325"/>
    </row>
    <row r="74" spans="3:6">
      <c r="C74" s="325"/>
    </row>
    <row r="75" spans="3:6">
      <c r="C75" s="325"/>
    </row>
    <row r="76" spans="3:6">
      <c r="C76" s="325"/>
    </row>
    <row r="77" spans="3:6">
      <c r="C77" s="325"/>
    </row>
    <row r="78" spans="3:6">
      <c r="C78" s="325"/>
    </row>
    <row r="79" spans="3:6">
      <c r="C79" s="325"/>
    </row>
    <row r="80" spans="3:6">
      <c r="C80" s="325"/>
    </row>
    <row r="81" spans="3:3">
      <c r="C81" s="325"/>
    </row>
    <row r="82" spans="3:3">
      <c r="C82" s="325"/>
    </row>
    <row r="83" spans="3:3">
      <c r="C83" s="325"/>
    </row>
    <row r="84" spans="3:3">
      <c r="C84" s="325"/>
    </row>
    <row r="85" spans="3:3">
      <c r="C85" s="325"/>
    </row>
    <row r="86" spans="3:3">
      <c r="C86" s="325"/>
    </row>
    <row r="87" spans="3:3">
      <c r="C87" s="325"/>
    </row>
    <row r="88" spans="3:3">
      <c r="C88" s="325"/>
    </row>
    <row r="89" spans="3:3">
      <c r="C89" s="325"/>
    </row>
    <row r="90" spans="3:3">
      <c r="C90" s="325"/>
    </row>
    <row r="91" spans="3:3">
      <c r="C91" s="325"/>
    </row>
    <row r="92" spans="3:3">
      <c r="C92" s="325"/>
    </row>
    <row r="93" spans="3:3">
      <c r="C93" s="325"/>
    </row>
    <row r="94" spans="3:3">
      <c r="C94" s="325"/>
    </row>
    <row r="95" spans="3:3">
      <c r="C95" s="325"/>
    </row>
    <row r="96" spans="3:3">
      <c r="C96" s="325"/>
    </row>
    <row r="97" spans="3:3">
      <c r="C97" s="325"/>
    </row>
    <row r="98" spans="3:3">
      <c r="C98" s="325"/>
    </row>
    <row r="99" spans="3:3">
      <c r="C99" s="325"/>
    </row>
    <row r="100" spans="3:3">
      <c r="C100" s="325"/>
    </row>
    <row r="101" spans="3:3">
      <c r="C101" s="325"/>
    </row>
    <row r="102" spans="3:3">
      <c r="C102" s="325"/>
    </row>
    <row r="103" spans="3:3">
      <c r="C103" s="325"/>
    </row>
    <row r="104" spans="3:3">
      <c r="C104" s="325"/>
    </row>
    <row r="105" spans="3:3">
      <c r="C105" s="325"/>
    </row>
    <row r="106" spans="3:3">
      <c r="C106" s="325"/>
    </row>
    <row r="107" spans="3:3">
      <c r="C107" s="325"/>
    </row>
    <row r="108" spans="3:3">
      <c r="C108" s="325"/>
    </row>
    <row r="109" spans="3:3">
      <c r="C109" s="325"/>
    </row>
    <row r="110" spans="3:3">
      <c r="C110" s="325"/>
    </row>
    <row r="111" spans="3:3">
      <c r="C111" s="325"/>
    </row>
    <row r="112" spans="3:3">
      <c r="C112" s="325"/>
    </row>
    <row r="113" spans="3:3">
      <c r="C113" s="325"/>
    </row>
    <row r="114" spans="3:3">
      <c r="C114" s="325"/>
    </row>
    <row r="115" spans="3:3">
      <c r="C115" s="325"/>
    </row>
    <row r="116" spans="3:3">
      <c r="C116" s="325"/>
    </row>
    <row r="117" spans="3:3">
      <c r="C117" s="325"/>
    </row>
    <row r="118" spans="3:3">
      <c r="C118" s="325"/>
    </row>
    <row r="119" spans="3:3">
      <c r="C119" s="325"/>
    </row>
    <row r="120" spans="3:3">
      <c r="C120" s="325"/>
    </row>
    <row r="121" spans="3:3">
      <c r="C121" s="325"/>
    </row>
    <row r="122" spans="3:3">
      <c r="C122" s="325"/>
    </row>
    <row r="123" spans="3:3">
      <c r="C123" s="325"/>
    </row>
    <row r="124" spans="3:3">
      <c r="C124" s="325"/>
    </row>
    <row r="125" spans="3:3">
      <c r="C125" s="325"/>
    </row>
    <row r="126" spans="3:3">
      <c r="C126" s="325"/>
    </row>
  </sheetData>
  <dataValidations count="5">
    <dataValidation type="decimal" operator="lessThanOrEqual" allowBlank="1" showInputMessage="1" showErrorMessage="1" sqref="I6" xr:uid="{AC7A9497-58AF-4ABF-A1B7-B301EE73D8FF}">
      <formula1>0.5</formula1>
    </dataValidation>
    <dataValidation type="decimal" operator="lessThanOrEqual" allowBlank="1" showInputMessage="1" showErrorMessage="1" sqref="I3" xr:uid="{6A04FFB4-D4CB-4F91-ACBD-2847C6C393CF}">
      <formula1>0.45</formula1>
    </dataValidation>
    <dataValidation type="whole" operator="lessThanOrEqual" allowBlank="1" showInputMessage="1" showErrorMessage="1" sqref="I4" xr:uid="{67A4B6B2-0B84-4687-A22F-EA6E53D9D899}">
      <formula1>50%</formula1>
    </dataValidation>
    <dataValidation type="decimal" operator="lessThanOrEqual" allowBlank="1" showInputMessage="1" showErrorMessage="1" sqref="I5" xr:uid="{D40BF465-6D37-4B66-81A4-6E52F55728C6}">
      <formula1>F3/(1-F4-F5)</formula1>
    </dataValidation>
    <dataValidation type="decimal" operator="lessThanOrEqual" allowBlank="1" showInputMessage="1" showErrorMessage="1" sqref="I7:I9" xr:uid="{11D25D9E-1F3D-4F76-AE01-C6B5540C5212}">
      <formula1>F5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3">
    <tabColor rgb="FFFFFF00"/>
  </sheetPr>
  <dimension ref="A1:N216"/>
  <sheetViews>
    <sheetView workbookViewId="0"/>
  </sheetViews>
  <sheetFormatPr defaultColWidth="9.140625" defaultRowHeight="12.75"/>
  <cols>
    <col min="1" max="1" width="52.85546875" style="2" customWidth="1"/>
    <col min="2" max="2" width="55.28515625" style="2" customWidth="1"/>
    <col min="3" max="3" width="7.7109375" style="2" bestFit="1" customWidth="1"/>
    <col min="4" max="4" width="6.28515625" style="2" customWidth="1"/>
    <col min="5" max="5" width="7.7109375" style="2" bestFit="1" customWidth="1"/>
    <col min="6" max="6" width="6.28515625" style="2" customWidth="1"/>
    <col min="7" max="7" width="7.7109375" style="2" bestFit="1" customWidth="1"/>
    <col min="8" max="8" width="6.7109375" style="2" customWidth="1"/>
    <col min="9" max="9" width="7.5703125" style="2" customWidth="1"/>
    <col min="10" max="10" width="8.7109375" style="2" customWidth="1"/>
    <col min="11" max="13" width="11.28515625" style="2" customWidth="1"/>
    <col min="14" max="16384" width="9.140625" style="2"/>
  </cols>
  <sheetData>
    <row r="1" spans="1:14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4" s="7" customFormat="1" ht="15.75">
      <c r="A2" s="5"/>
      <c r="B2" s="5" t="s">
        <v>67</v>
      </c>
      <c r="C2" s="5"/>
      <c r="D2" s="5"/>
      <c r="E2" s="5"/>
      <c r="F2" s="5"/>
      <c r="G2" s="5"/>
      <c r="H2" s="5"/>
      <c r="I2" s="5"/>
      <c r="J2" s="5"/>
      <c r="K2" s="1"/>
      <c r="L2" s="1"/>
      <c r="M2" s="1"/>
      <c r="N2" s="1"/>
    </row>
    <row r="3" spans="1:14">
      <c r="A3" s="6"/>
      <c r="B3" s="6"/>
      <c r="C3" s="6"/>
      <c r="D3" s="6"/>
      <c r="E3" s="6"/>
      <c r="F3" s="6"/>
      <c r="G3" s="6"/>
      <c r="H3" s="6"/>
      <c r="I3" s="6"/>
      <c r="J3" s="6"/>
      <c r="K3" s="1"/>
      <c r="L3" s="1"/>
      <c r="M3" s="1"/>
      <c r="N3" s="1"/>
    </row>
    <row r="4" spans="1:14" s="11" customFormat="1" ht="69.75" customHeight="1" thickBot="1">
      <c r="A4" s="10" t="s">
        <v>59</v>
      </c>
      <c r="B4" s="16" t="s">
        <v>36</v>
      </c>
      <c r="C4" s="31" t="s">
        <v>58</v>
      </c>
      <c r="D4" s="31" t="s">
        <v>57</v>
      </c>
      <c r="E4" s="31" t="s">
        <v>61</v>
      </c>
      <c r="F4" s="31" t="s">
        <v>65</v>
      </c>
      <c r="G4" s="31" t="s">
        <v>63</v>
      </c>
      <c r="H4" s="31" t="s">
        <v>64</v>
      </c>
      <c r="I4" s="21" t="e">
        <f>#REF!</f>
        <v>#REF!</v>
      </c>
      <c r="J4" s="12" t="s">
        <v>10</v>
      </c>
      <c r="K4" s="1"/>
      <c r="L4" s="1"/>
      <c r="M4" s="1"/>
      <c r="N4" s="1"/>
    </row>
    <row r="5" spans="1:14" s="8" customFormat="1" ht="19.5" customHeight="1">
      <c r="B5" s="13"/>
      <c r="C5" s="17" t="s">
        <v>1</v>
      </c>
      <c r="D5" s="14" t="s">
        <v>2</v>
      </c>
      <c r="E5" s="14" t="s">
        <v>62</v>
      </c>
      <c r="F5" s="14" t="s">
        <v>62</v>
      </c>
      <c r="G5" s="14" t="s">
        <v>62</v>
      </c>
      <c r="H5" s="14" t="s">
        <v>62</v>
      </c>
      <c r="I5" s="14" t="s">
        <v>60</v>
      </c>
      <c r="J5" s="22"/>
      <c r="K5" s="1"/>
      <c r="L5" s="1"/>
      <c r="M5" s="1"/>
      <c r="N5" s="1"/>
    </row>
    <row r="6" spans="1:14" s="1" customFormat="1" ht="17.25" customHeight="1">
      <c r="A6" s="9"/>
      <c r="B6" s="15"/>
      <c r="C6" s="23"/>
      <c r="D6" s="24"/>
      <c r="E6" s="24"/>
      <c r="F6" s="24"/>
      <c r="G6" s="24"/>
      <c r="H6" s="23"/>
      <c r="I6" s="11"/>
      <c r="J6" s="25"/>
    </row>
    <row r="7" spans="1:14" s="1" customFormat="1" ht="18" customHeight="1">
      <c r="A7" s="9"/>
      <c r="B7" s="15"/>
      <c r="C7" s="23"/>
      <c r="D7" s="24"/>
      <c r="E7" s="24"/>
      <c r="F7" s="24"/>
      <c r="G7" s="24"/>
      <c r="H7" s="23"/>
      <c r="I7" s="11"/>
      <c r="J7" s="25"/>
    </row>
    <row r="8" spans="1:14" s="1" customFormat="1">
      <c r="A8" s="9"/>
      <c r="B8" s="15"/>
      <c r="C8" s="23"/>
      <c r="D8" s="24"/>
      <c r="E8" s="24"/>
      <c r="F8" s="24"/>
      <c r="G8" s="24"/>
      <c r="H8" s="23"/>
      <c r="I8" s="11"/>
      <c r="J8" s="25"/>
    </row>
    <row r="9" spans="1:14" s="1" customFormat="1">
      <c r="A9" s="9"/>
      <c r="B9" s="15"/>
      <c r="C9" s="23"/>
      <c r="D9" s="24"/>
      <c r="E9" s="24"/>
      <c r="F9" s="24"/>
      <c r="G9" s="24"/>
      <c r="H9" s="23"/>
      <c r="I9" s="11"/>
      <c r="J9" s="25"/>
    </row>
    <row r="10" spans="1:14" s="1" customFormat="1">
      <c r="A10" s="9"/>
      <c r="B10" s="15"/>
      <c r="C10" s="23"/>
      <c r="D10" s="24"/>
      <c r="E10" s="24"/>
      <c r="F10" s="24"/>
      <c r="G10" s="24"/>
      <c r="H10" s="23"/>
      <c r="I10" s="11"/>
      <c r="J10" s="25"/>
    </row>
    <row r="11" spans="1:14" s="1" customFormat="1">
      <c r="A11" s="9"/>
      <c r="B11" s="15"/>
      <c r="C11" s="23"/>
      <c r="D11" s="24"/>
      <c r="E11" s="24"/>
      <c r="F11" s="24"/>
      <c r="G11" s="24"/>
      <c r="H11" s="23"/>
      <c r="I11" s="11"/>
      <c r="J11" s="25"/>
    </row>
    <row r="12" spans="1:14" s="1" customFormat="1">
      <c r="A12" s="9"/>
      <c r="B12" s="15"/>
      <c r="C12" s="23"/>
      <c r="D12" s="24"/>
      <c r="E12" s="24"/>
      <c r="F12" s="24"/>
      <c r="G12" s="24"/>
      <c r="H12" s="23"/>
      <c r="I12" s="11"/>
      <c r="J12" s="25"/>
    </row>
    <row r="13" spans="1:14" s="1" customFormat="1">
      <c r="A13" s="9"/>
      <c r="B13" s="15"/>
      <c r="C13" s="23"/>
      <c r="D13" s="24"/>
      <c r="E13" s="24"/>
      <c r="F13" s="24"/>
      <c r="G13" s="24"/>
      <c r="H13" s="23"/>
      <c r="I13" s="11"/>
      <c r="J13" s="25"/>
    </row>
    <row r="14" spans="1:14" s="1" customFormat="1">
      <c r="A14" s="9"/>
      <c r="B14" s="15"/>
      <c r="C14" s="23"/>
      <c r="D14" s="24"/>
      <c r="E14" s="24"/>
      <c r="F14" s="24"/>
      <c r="G14" s="24"/>
      <c r="H14" s="23"/>
      <c r="I14" s="11"/>
      <c r="J14" s="25"/>
    </row>
    <row r="15" spans="1:14" s="1" customFormat="1">
      <c r="A15" s="9"/>
      <c r="B15" s="15"/>
      <c r="C15" s="23"/>
      <c r="D15" s="24"/>
      <c r="E15" s="24"/>
      <c r="F15" s="24"/>
      <c r="G15" s="24"/>
      <c r="H15" s="23"/>
      <c r="I15" s="11"/>
      <c r="J15" s="25"/>
    </row>
    <row r="16" spans="1:14" s="1" customFormat="1">
      <c r="A16" s="9"/>
      <c r="B16" s="15"/>
      <c r="C16" s="23"/>
      <c r="D16" s="24"/>
      <c r="E16" s="24"/>
      <c r="F16" s="24"/>
      <c r="G16" s="24"/>
      <c r="H16" s="23"/>
      <c r="I16" s="11"/>
      <c r="J16" s="25"/>
    </row>
    <row r="17" spans="1:10" s="1" customFormat="1">
      <c r="A17" s="9"/>
      <c r="B17" s="15"/>
      <c r="C17" s="23"/>
      <c r="D17" s="24"/>
      <c r="E17" s="24"/>
      <c r="F17" s="24"/>
      <c r="G17" s="24"/>
      <c r="H17" s="23"/>
      <c r="I17" s="11"/>
      <c r="J17" s="25"/>
    </row>
    <row r="18" spans="1:10" s="1" customFormat="1">
      <c r="A18" s="9"/>
      <c r="B18" s="15"/>
      <c r="C18" s="23"/>
      <c r="D18" s="24"/>
      <c r="E18" s="24"/>
      <c r="F18" s="24"/>
      <c r="G18" s="24"/>
      <c r="H18" s="23"/>
      <c r="I18" s="11"/>
      <c r="J18" s="25"/>
    </row>
    <row r="19" spans="1:10" s="1" customFormat="1">
      <c r="A19" s="9"/>
      <c r="B19" s="15"/>
      <c r="C19" s="23"/>
      <c r="D19" s="24"/>
      <c r="E19" s="24"/>
      <c r="F19" s="24"/>
      <c r="G19" s="24"/>
      <c r="H19" s="23"/>
      <c r="I19" s="11"/>
      <c r="J19" s="25"/>
    </row>
    <row r="20" spans="1:10" s="1" customFormat="1">
      <c r="A20" s="9"/>
      <c r="B20" s="15"/>
      <c r="C20" s="23"/>
      <c r="D20" s="24"/>
      <c r="E20" s="24"/>
      <c r="F20" s="24"/>
      <c r="G20" s="24"/>
      <c r="H20" s="23"/>
      <c r="I20" s="11"/>
      <c r="J20" s="25"/>
    </row>
    <row r="21" spans="1:10" s="1" customFormat="1">
      <c r="A21" s="9"/>
      <c r="B21" s="15"/>
      <c r="C21" s="23"/>
      <c r="D21" s="24"/>
      <c r="E21" s="24"/>
      <c r="F21" s="24"/>
      <c r="G21" s="24"/>
      <c r="H21" s="23"/>
      <c r="I21" s="11"/>
      <c r="J21" s="25"/>
    </row>
    <row r="22" spans="1:10" s="1" customFormat="1">
      <c r="A22" s="9"/>
      <c r="B22" s="15"/>
      <c r="C22" s="23"/>
      <c r="D22" s="24"/>
      <c r="E22" s="24"/>
      <c r="F22" s="24"/>
      <c r="G22" s="24"/>
      <c r="H22" s="23"/>
      <c r="I22" s="11"/>
      <c r="J22" s="25"/>
    </row>
    <row r="23" spans="1:10" s="1" customFormat="1">
      <c r="A23" s="9"/>
      <c r="B23" s="15"/>
      <c r="C23" s="23"/>
      <c r="D23" s="24"/>
      <c r="E23" s="24"/>
      <c r="F23" s="24"/>
      <c r="G23" s="24"/>
      <c r="H23" s="23"/>
      <c r="I23" s="11"/>
      <c r="J23" s="25"/>
    </row>
    <row r="24" spans="1:10" s="1" customFormat="1">
      <c r="A24" s="9"/>
      <c r="B24" s="15"/>
      <c r="C24" s="23"/>
      <c r="D24" s="24"/>
      <c r="E24" s="24"/>
      <c r="F24" s="24"/>
      <c r="G24" s="24"/>
      <c r="H24" s="23"/>
      <c r="I24" s="11"/>
      <c r="J24" s="25"/>
    </row>
    <row r="25" spans="1:10" s="1" customFormat="1">
      <c r="A25" s="9"/>
      <c r="B25" s="15"/>
      <c r="C25" s="23"/>
      <c r="D25" s="24"/>
      <c r="E25" s="24"/>
      <c r="F25" s="24"/>
      <c r="G25" s="24"/>
      <c r="H25" s="23"/>
      <c r="I25" s="11"/>
      <c r="J25" s="25"/>
    </row>
    <row r="26" spans="1:10" s="1" customFormat="1">
      <c r="A26" s="9"/>
      <c r="B26" s="15"/>
      <c r="C26" s="23"/>
      <c r="D26" s="24"/>
      <c r="E26" s="24"/>
      <c r="F26" s="24"/>
      <c r="G26" s="24"/>
      <c r="H26" s="23"/>
      <c r="I26" s="11"/>
      <c r="J26" s="25"/>
    </row>
    <row r="27" spans="1:10" s="1" customFormat="1">
      <c r="A27" s="9"/>
      <c r="B27" s="15"/>
      <c r="C27" s="23"/>
      <c r="D27" s="24"/>
      <c r="E27" s="24"/>
      <c r="F27" s="24"/>
      <c r="G27" s="24"/>
      <c r="H27" s="23"/>
      <c r="I27" s="11"/>
      <c r="J27" s="25"/>
    </row>
    <row r="28" spans="1:10" s="1" customFormat="1">
      <c r="A28" s="9"/>
      <c r="B28" s="15"/>
      <c r="C28" s="23"/>
      <c r="D28" s="24"/>
      <c r="E28" s="24"/>
      <c r="F28" s="24"/>
      <c r="G28" s="24"/>
      <c r="H28" s="23"/>
      <c r="I28" s="11"/>
      <c r="J28" s="25"/>
    </row>
    <row r="29" spans="1:10" s="1" customFormat="1">
      <c r="A29" s="9"/>
      <c r="B29" s="15"/>
      <c r="C29" s="23"/>
      <c r="D29" s="24"/>
      <c r="E29" s="24"/>
      <c r="F29" s="24"/>
      <c r="G29" s="24"/>
      <c r="H29" s="23"/>
      <c r="I29" s="11"/>
      <c r="J29" s="25"/>
    </row>
    <row r="30" spans="1:10" s="1" customFormat="1">
      <c r="A30" s="9"/>
      <c r="B30" s="15"/>
      <c r="C30" s="23"/>
      <c r="D30" s="24"/>
      <c r="E30" s="24"/>
      <c r="F30" s="24"/>
      <c r="G30" s="24"/>
      <c r="H30" s="23"/>
      <c r="I30" s="11"/>
      <c r="J30" s="25"/>
    </row>
    <row r="31" spans="1:10" s="1" customFormat="1">
      <c r="A31" s="9"/>
      <c r="B31" s="15"/>
      <c r="C31" s="23"/>
      <c r="D31" s="24"/>
      <c r="E31" s="24"/>
      <c r="F31" s="24"/>
      <c r="G31" s="24"/>
      <c r="H31" s="23"/>
      <c r="I31" s="11"/>
      <c r="J31" s="25"/>
    </row>
    <row r="32" spans="1:10" s="1" customFormat="1">
      <c r="A32" s="9"/>
      <c r="B32" s="15"/>
      <c r="C32" s="23"/>
      <c r="D32" s="24"/>
      <c r="E32" s="24"/>
      <c r="F32" s="24"/>
      <c r="G32" s="24"/>
      <c r="H32" s="23"/>
      <c r="I32" s="11"/>
      <c r="J32" s="25"/>
    </row>
    <row r="33" spans="1:10" s="1" customFormat="1">
      <c r="A33" s="9"/>
      <c r="B33" s="15"/>
      <c r="C33" s="23"/>
      <c r="D33" s="24"/>
      <c r="E33" s="24"/>
      <c r="F33" s="24"/>
      <c r="G33" s="24"/>
      <c r="H33" s="23"/>
      <c r="I33" s="11"/>
      <c r="J33" s="25"/>
    </row>
    <row r="34" spans="1:10" s="1" customFormat="1">
      <c r="A34" s="9"/>
      <c r="B34" s="15"/>
      <c r="C34" s="23"/>
      <c r="D34" s="24"/>
      <c r="E34" s="24"/>
      <c r="F34" s="24"/>
      <c r="G34" s="24"/>
      <c r="H34" s="23"/>
      <c r="I34" s="11"/>
      <c r="J34" s="25"/>
    </row>
    <row r="35" spans="1:10" s="1" customFormat="1">
      <c r="A35" s="9"/>
      <c r="B35" s="15"/>
      <c r="C35" s="23"/>
      <c r="D35" s="24"/>
      <c r="E35" s="24"/>
      <c r="F35" s="24"/>
      <c r="G35" s="24"/>
      <c r="H35" s="23"/>
      <c r="I35" s="11"/>
      <c r="J35" s="25"/>
    </row>
    <row r="36" spans="1:10" s="1" customFormat="1">
      <c r="A36" s="9"/>
      <c r="B36" s="15"/>
      <c r="C36" s="23"/>
      <c r="D36" s="24"/>
      <c r="E36" s="24"/>
      <c r="F36" s="24"/>
      <c r="G36" s="24"/>
      <c r="H36" s="23"/>
      <c r="I36" s="11"/>
      <c r="J36" s="25"/>
    </row>
    <row r="37" spans="1:10" s="1" customFormat="1">
      <c r="A37" s="9"/>
      <c r="B37" s="15"/>
      <c r="C37" s="23"/>
      <c r="D37" s="24"/>
      <c r="E37" s="24"/>
      <c r="F37" s="24"/>
      <c r="G37" s="24"/>
      <c r="H37" s="23"/>
      <c r="I37" s="11"/>
      <c r="J37" s="25"/>
    </row>
    <row r="38" spans="1:10" s="1" customFormat="1">
      <c r="A38" s="9"/>
      <c r="B38" s="15"/>
      <c r="C38" s="23"/>
      <c r="D38" s="24"/>
      <c r="E38" s="24"/>
      <c r="F38" s="24"/>
      <c r="G38" s="24"/>
      <c r="H38" s="23"/>
      <c r="I38" s="11"/>
      <c r="J38" s="25"/>
    </row>
    <row r="39" spans="1:10" s="1" customFormat="1">
      <c r="A39" s="9"/>
      <c r="B39" s="15"/>
      <c r="C39" s="23"/>
      <c r="D39" s="24"/>
      <c r="E39" s="24"/>
      <c r="F39" s="24"/>
      <c r="G39" s="24"/>
      <c r="H39" s="23"/>
      <c r="I39" s="11"/>
      <c r="J39" s="25"/>
    </row>
    <row r="40" spans="1:10" s="1" customFormat="1">
      <c r="A40" s="9"/>
      <c r="B40" s="15"/>
      <c r="C40" s="23"/>
      <c r="D40" s="24"/>
      <c r="E40" s="24"/>
      <c r="F40" s="24"/>
      <c r="G40" s="24"/>
      <c r="H40" s="23"/>
      <c r="I40" s="11"/>
      <c r="J40" s="25"/>
    </row>
    <row r="41" spans="1:10" s="1" customFormat="1">
      <c r="A41" s="9"/>
      <c r="B41" s="15"/>
      <c r="C41" s="23"/>
      <c r="D41" s="24"/>
      <c r="E41" s="24"/>
      <c r="F41" s="24"/>
      <c r="G41" s="24"/>
      <c r="H41" s="23"/>
      <c r="I41" s="11"/>
      <c r="J41" s="25"/>
    </row>
    <row r="42" spans="1:10" s="1" customFormat="1">
      <c r="A42" s="9"/>
      <c r="B42" s="15"/>
      <c r="C42" s="23"/>
      <c r="D42" s="24"/>
      <c r="E42" s="24"/>
      <c r="F42" s="24"/>
      <c r="G42" s="24"/>
      <c r="H42" s="23"/>
      <c r="I42" s="11"/>
      <c r="J42" s="25"/>
    </row>
    <row r="43" spans="1:10" s="1" customFormat="1">
      <c r="A43" s="9"/>
      <c r="B43" s="15"/>
      <c r="C43" s="23"/>
      <c r="D43" s="24"/>
      <c r="E43" s="24"/>
      <c r="F43" s="24"/>
      <c r="G43" s="24"/>
      <c r="H43" s="23"/>
      <c r="I43" s="11"/>
      <c r="J43" s="25"/>
    </row>
    <row r="44" spans="1:10" s="1" customFormat="1">
      <c r="A44" s="9"/>
      <c r="B44" s="15"/>
      <c r="C44" s="23"/>
      <c r="D44" s="24"/>
      <c r="E44" s="24"/>
      <c r="F44" s="24"/>
      <c r="G44" s="24"/>
      <c r="H44" s="23"/>
      <c r="I44" s="11"/>
      <c r="J44" s="25"/>
    </row>
    <row r="45" spans="1:10" s="1" customFormat="1">
      <c r="A45" s="9"/>
      <c r="B45" s="15"/>
      <c r="C45" s="23"/>
      <c r="D45" s="24"/>
      <c r="E45" s="24"/>
      <c r="F45" s="24"/>
      <c r="G45" s="24"/>
      <c r="H45" s="23"/>
      <c r="I45" s="11"/>
      <c r="J45" s="25"/>
    </row>
    <row r="46" spans="1:10" s="1" customFormat="1">
      <c r="A46" s="9"/>
      <c r="B46" s="15"/>
      <c r="C46" s="23"/>
      <c r="D46" s="24"/>
      <c r="E46" s="24"/>
      <c r="F46" s="24"/>
      <c r="G46" s="24"/>
      <c r="H46" s="23"/>
      <c r="I46" s="11"/>
      <c r="J46" s="25"/>
    </row>
    <row r="47" spans="1:10" s="1" customFormat="1">
      <c r="A47" s="9"/>
      <c r="B47" s="15"/>
      <c r="C47" s="23"/>
      <c r="D47" s="24"/>
      <c r="E47" s="24"/>
      <c r="F47" s="24"/>
      <c r="G47" s="24"/>
      <c r="H47" s="23"/>
      <c r="I47" s="11"/>
      <c r="J47" s="25"/>
    </row>
    <row r="48" spans="1:10" s="1" customFormat="1">
      <c r="A48" s="9"/>
      <c r="B48" s="15"/>
      <c r="C48" s="23"/>
      <c r="D48" s="24"/>
      <c r="E48" s="24"/>
      <c r="F48" s="24"/>
      <c r="G48" s="24"/>
      <c r="H48" s="23"/>
      <c r="I48" s="11"/>
      <c r="J48" s="25"/>
    </row>
    <row r="49" spans="1:10" s="1" customFormat="1">
      <c r="A49" s="9"/>
      <c r="B49" s="15"/>
      <c r="C49" s="23"/>
      <c r="D49" s="24"/>
      <c r="E49" s="24"/>
      <c r="F49" s="24"/>
      <c r="G49" s="24"/>
      <c r="H49" s="23"/>
      <c r="I49" s="11"/>
      <c r="J49" s="25"/>
    </row>
    <row r="50" spans="1:10" s="1" customFormat="1">
      <c r="A50" s="9"/>
      <c r="B50" s="15"/>
      <c r="C50" s="23"/>
      <c r="D50" s="24"/>
      <c r="E50" s="24"/>
      <c r="F50" s="24"/>
      <c r="G50" s="24"/>
      <c r="H50" s="23"/>
      <c r="I50" s="11"/>
      <c r="J50" s="25"/>
    </row>
    <row r="51" spans="1:10" s="1" customFormat="1">
      <c r="A51" s="9"/>
      <c r="B51" s="15"/>
      <c r="C51" s="23"/>
      <c r="D51" s="24"/>
      <c r="E51" s="24"/>
      <c r="F51" s="24"/>
      <c r="G51" s="24"/>
      <c r="H51" s="23"/>
      <c r="I51" s="11"/>
      <c r="J51" s="25"/>
    </row>
    <row r="52" spans="1:10" s="1" customFormat="1">
      <c r="A52" s="9"/>
      <c r="B52" s="15"/>
      <c r="C52" s="23"/>
      <c r="D52" s="24"/>
      <c r="E52" s="24"/>
      <c r="F52" s="24"/>
      <c r="G52" s="24"/>
      <c r="H52" s="23"/>
      <c r="I52" s="11"/>
      <c r="J52" s="25"/>
    </row>
    <row r="53" spans="1:10" s="1" customFormat="1">
      <c r="A53" s="9"/>
      <c r="B53" s="15"/>
      <c r="C53" s="23"/>
      <c r="D53" s="24"/>
      <c r="E53" s="24"/>
      <c r="F53" s="24"/>
      <c r="G53" s="24"/>
      <c r="H53" s="23"/>
      <c r="I53" s="11"/>
      <c r="J53" s="25"/>
    </row>
    <row r="54" spans="1:10" s="1" customFormat="1">
      <c r="A54" s="9"/>
      <c r="B54" s="15"/>
      <c r="C54" s="23"/>
      <c r="D54" s="24"/>
      <c r="E54" s="24"/>
      <c r="F54" s="24"/>
      <c r="G54" s="24"/>
      <c r="H54" s="23"/>
      <c r="I54" s="11"/>
      <c r="J54" s="25"/>
    </row>
    <row r="55" spans="1:10" s="1" customFormat="1">
      <c r="A55" s="9"/>
      <c r="B55" s="15"/>
      <c r="C55" s="23"/>
      <c r="D55" s="24"/>
      <c r="E55" s="24"/>
      <c r="F55" s="24"/>
      <c r="G55" s="24"/>
      <c r="H55" s="23"/>
      <c r="I55" s="11"/>
      <c r="J55" s="25"/>
    </row>
    <row r="56" spans="1:10" s="1" customFormat="1">
      <c r="A56" s="9"/>
      <c r="B56" s="15"/>
      <c r="C56" s="23"/>
      <c r="D56" s="24"/>
      <c r="E56" s="24"/>
      <c r="F56" s="24"/>
      <c r="G56" s="24"/>
      <c r="H56" s="23"/>
      <c r="I56" s="11"/>
      <c r="J56" s="25"/>
    </row>
    <row r="57" spans="1:10" s="1" customFormat="1">
      <c r="A57" s="9"/>
      <c r="B57" s="15"/>
      <c r="C57" s="23"/>
      <c r="D57" s="24"/>
      <c r="E57" s="24"/>
      <c r="F57" s="24"/>
      <c r="G57" s="24"/>
      <c r="H57" s="23"/>
      <c r="I57" s="11"/>
      <c r="J57" s="25"/>
    </row>
    <row r="58" spans="1:10" s="1" customFormat="1">
      <c r="A58" s="9"/>
      <c r="B58" s="15"/>
      <c r="C58" s="23"/>
      <c r="D58" s="24"/>
      <c r="E58" s="24"/>
      <c r="F58" s="24"/>
      <c r="G58" s="24"/>
      <c r="H58" s="23"/>
      <c r="I58" s="11"/>
      <c r="J58" s="25"/>
    </row>
    <row r="59" spans="1:10" s="1" customFormat="1">
      <c r="A59" s="9"/>
      <c r="B59" s="15"/>
      <c r="C59" s="23"/>
      <c r="D59" s="24"/>
      <c r="E59" s="24"/>
      <c r="F59" s="24"/>
      <c r="G59" s="24"/>
      <c r="H59" s="23"/>
      <c r="I59" s="11"/>
      <c r="J59" s="25"/>
    </row>
    <row r="60" spans="1:10" s="1" customFormat="1">
      <c r="A60" s="9"/>
      <c r="B60" s="15"/>
      <c r="C60" s="23"/>
      <c r="D60" s="24"/>
      <c r="E60" s="24"/>
      <c r="F60" s="24"/>
      <c r="G60" s="24"/>
      <c r="H60" s="23"/>
      <c r="I60" s="11"/>
      <c r="J60" s="25"/>
    </row>
    <row r="61" spans="1:10" s="1" customFormat="1">
      <c r="A61" s="9"/>
      <c r="B61" s="15"/>
      <c r="C61" s="23"/>
      <c r="D61" s="24"/>
      <c r="E61" s="24"/>
      <c r="F61" s="24"/>
      <c r="G61" s="24"/>
      <c r="H61" s="23"/>
      <c r="I61" s="11"/>
      <c r="J61" s="25"/>
    </row>
    <row r="62" spans="1:10" s="1" customFormat="1">
      <c r="A62" s="9"/>
      <c r="B62" s="15"/>
      <c r="C62" s="23"/>
      <c r="D62" s="24"/>
      <c r="E62" s="24"/>
      <c r="F62" s="24"/>
      <c r="G62" s="24"/>
      <c r="H62" s="23"/>
      <c r="I62" s="11"/>
      <c r="J62" s="25"/>
    </row>
    <row r="63" spans="1:10" s="1" customFormat="1">
      <c r="A63" s="9"/>
      <c r="B63" s="15"/>
      <c r="C63" s="23"/>
      <c r="D63" s="24"/>
      <c r="E63" s="24"/>
      <c r="F63" s="24"/>
      <c r="G63" s="24"/>
      <c r="H63" s="23"/>
      <c r="I63" s="11"/>
      <c r="J63" s="25"/>
    </row>
    <row r="64" spans="1:10" s="1" customFormat="1">
      <c r="A64" s="9"/>
      <c r="B64" s="15"/>
      <c r="C64" s="23"/>
      <c r="D64" s="24"/>
      <c r="E64" s="24"/>
      <c r="F64" s="24"/>
      <c r="G64" s="24"/>
      <c r="H64" s="23"/>
      <c r="I64" s="11"/>
      <c r="J64" s="25"/>
    </row>
    <row r="65" spans="1:10" s="1" customFormat="1">
      <c r="A65" s="9"/>
      <c r="B65" s="15"/>
      <c r="C65" s="23"/>
      <c r="D65" s="24"/>
      <c r="E65" s="24"/>
      <c r="F65" s="24"/>
      <c r="G65" s="24"/>
      <c r="H65" s="23"/>
      <c r="I65" s="11"/>
      <c r="J65" s="25"/>
    </row>
    <row r="66" spans="1:10" s="1" customFormat="1">
      <c r="A66" s="9"/>
      <c r="B66" s="15"/>
      <c r="C66" s="23"/>
      <c r="D66" s="24"/>
      <c r="E66" s="24"/>
      <c r="F66" s="24"/>
      <c r="G66" s="24"/>
      <c r="H66" s="23"/>
      <c r="I66" s="11"/>
      <c r="J66" s="25"/>
    </row>
    <row r="67" spans="1:10" s="1" customFormat="1">
      <c r="A67" s="9"/>
      <c r="B67" s="15"/>
      <c r="C67" s="23"/>
      <c r="D67" s="24"/>
      <c r="E67" s="24"/>
      <c r="F67" s="24"/>
      <c r="G67" s="24"/>
      <c r="H67" s="23"/>
      <c r="I67" s="11"/>
      <c r="J67" s="25"/>
    </row>
    <row r="68" spans="1:10" s="1" customFormat="1">
      <c r="A68" s="9"/>
      <c r="B68" s="15"/>
      <c r="C68" s="23"/>
      <c r="D68" s="24"/>
      <c r="E68" s="24"/>
      <c r="F68" s="24"/>
      <c r="G68" s="24"/>
      <c r="H68" s="23"/>
      <c r="I68" s="11"/>
      <c r="J68" s="25"/>
    </row>
    <row r="69" spans="1:10" s="1" customFormat="1">
      <c r="A69" s="9"/>
      <c r="B69" s="15"/>
      <c r="C69" s="23"/>
      <c r="D69" s="24"/>
      <c r="E69" s="24"/>
      <c r="F69" s="24"/>
      <c r="G69" s="24"/>
      <c r="H69" s="23"/>
      <c r="I69" s="11"/>
      <c r="J69" s="25"/>
    </row>
    <row r="70" spans="1:10" s="1" customFormat="1">
      <c r="A70" s="9"/>
      <c r="B70" s="15"/>
      <c r="C70" s="23"/>
      <c r="D70" s="24"/>
      <c r="E70" s="24"/>
      <c r="F70" s="24"/>
      <c r="G70" s="24"/>
      <c r="H70" s="23"/>
      <c r="I70" s="11"/>
      <c r="J70" s="25"/>
    </row>
    <row r="71" spans="1:10" s="1" customFormat="1">
      <c r="A71" s="9"/>
      <c r="B71" s="15"/>
      <c r="C71" s="23"/>
      <c r="D71" s="24"/>
      <c r="E71" s="24"/>
      <c r="F71" s="24"/>
      <c r="G71" s="24"/>
      <c r="H71" s="23"/>
      <c r="I71" s="11"/>
      <c r="J71" s="25"/>
    </row>
    <row r="72" spans="1:10" s="1" customFormat="1">
      <c r="A72" s="9"/>
      <c r="B72" s="15"/>
      <c r="C72" s="23"/>
      <c r="D72" s="24"/>
      <c r="E72" s="24"/>
      <c r="F72" s="24"/>
      <c r="G72" s="24"/>
      <c r="H72" s="23"/>
      <c r="I72" s="11"/>
      <c r="J72" s="25"/>
    </row>
    <row r="73" spans="1:10" s="1" customFormat="1">
      <c r="A73" s="9"/>
      <c r="B73" s="15"/>
      <c r="C73" s="23"/>
      <c r="D73" s="24"/>
      <c r="E73" s="24"/>
      <c r="F73" s="24"/>
      <c r="G73" s="24"/>
      <c r="H73" s="23"/>
      <c r="I73" s="11"/>
      <c r="J73" s="25"/>
    </row>
    <row r="74" spans="1:10" s="1" customFormat="1">
      <c r="A74" s="9"/>
      <c r="B74" s="15"/>
      <c r="C74" s="23"/>
      <c r="D74" s="24"/>
      <c r="E74" s="24"/>
      <c r="F74" s="24"/>
      <c r="G74" s="24"/>
      <c r="H74" s="23"/>
      <c r="I74" s="11"/>
      <c r="J74" s="25"/>
    </row>
    <row r="75" spans="1:10" s="1" customFormat="1">
      <c r="A75" s="9"/>
      <c r="B75" s="15"/>
      <c r="C75" s="23"/>
      <c r="D75" s="24"/>
      <c r="E75" s="24"/>
      <c r="F75" s="24"/>
      <c r="G75" s="24"/>
      <c r="H75" s="23"/>
      <c r="I75" s="11"/>
      <c r="J75" s="25"/>
    </row>
    <row r="76" spans="1:10" s="1" customFormat="1">
      <c r="A76" s="9"/>
      <c r="B76" s="15"/>
      <c r="C76" s="23"/>
      <c r="D76" s="24"/>
      <c r="E76" s="24"/>
      <c r="F76" s="24"/>
      <c r="G76" s="24"/>
      <c r="H76" s="23"/>
      <c r="I76" s="11"/>
      <c r="J76" s="25"/>
    </row>
    <row r="77" spans="1:10" s="1" customFormat="1">
      <c r="A77" s="9"/>
      <c r="B77" s="15"/>
      <c r="C77" s="23"/>
      <c r="D77" s="24"/>
      <c r="E77" s="24"/>
      <c r="F77" s="24"/>
      <c r="G77" s="24"/>
      <c r="H77" s="23"/>
      <c r="I77" s="11"/>
      <c r="J77" s="25"/>
    </row>
    <row r="78" spans="1:10" s="1" customFormat="1">
      <c r="A78" s="9"/>
      <c r="B78" s="15"/>
      <c r="C78" s="23"/>
      <c r="D78" s="24"/>
      <c r="E78" s="24"/>
      <c r="F78" s="24"/>
      <c r="G78" s="24"/>
      <c r="H78" s="23"/>
      <c r="I78" s="11"/>
      <c r="J78" s="25"/>
    </row>
    <row r="79" spans="1:10" s="1" customFormat="1">
      <c r="A79" s="9"/>
      <c r="B79" s="15"/>
      <c r="C79" s="23"/>
      <c r="D79" s="24"/>
      <c r="E79" s="24"/>
      <c r="F79" s="24"/>
      <c r="G79" s="24"/>
      <c r="H79" s="23"/>
      <c r="I79" s="11"/>
      <c r="J79" s="25"/>
    </row>
    <row r="80" spans="1:10" s="1" customFormat="1">
      <c r="A80" s="9"/>
      <c r="B80" s="15"/>
      <c r="C80" s="23"/>
      <c r="D80" s="24"/>
      <c r="E80" s="24"/>
      <c r="F80" s="24"/>
      <c r="G80" s="24"/>
      <c r="H80" s="23"/>
      <c r="I80" s="11"/>
      <c r="J80" s="25"/>
    </row>
    <row r="81" spans="1:10" s="1" customFormat="1">
      <c r="A81" s="9"/>
      <c r="B81" s="15"/>
      <c r="C81" s="23"/>
      <c r="D81" s="24"/>
      <c r="E81" s="24"/>
      <c r="F81" s="24"/>
      <c r="G81" s="24"/>
      <c r="H81" s="23"/>
      <c r="I81" s="11"/>
      <c r="J81" s="25"/>
    </row>
    <row r="82" spans="1:10" s="1" customFormat="1">
      <c r="A82" s="9"/>
      <c r="B82" s="15"/>
      <c r="C82" s="23"/>
      <c r="D82" s="24"/>
      <c r="E82" s="24"/>
      <c r="F82" s="24"/>
      <c r="G82" s="24"/>
      <c r="H82" s="23"/>
      <c r="I82" s="11"/>
      <c r="J82" s="25"/>
    </row>
    <row r="83" spans="1:10" s="1" customFormat="1">
      <c r="A83" s="9"/>
      <c r="B83" s="15"/>
      <c r="C83" s="23"/>
      <c r="D83" s="24"/>
      <c r="E83" s="24"/>
      <c r="F83" s="24"/>
      <c r="G83" s="24"/>
      <c r="H83" s="23"/>
      <c r="I83" s="11"/>
      <c r="J83" s="25"/>
    </row>
    <row r="84" spans="1:10" s="1" customFormat="1">
      <c r="A84" s="9"/>
      <c r="B84" s="15"/>
      <c r="C84" s="23"/>
      <c r="D84" s="24"/>
      <c r="E84" s="24"/>
      <c r="F84" s="24"/>
      <c r="G84" s="24"/>
      <c r="H84" s="23"/>
      <c r="I84" s="11"/>
      <c r="J84" s="25"/>
    </row>
    <row r="85" spans="1:10" s="1" customFormat="1">
      <c r="A85" s="9"/>
      <c r="B85" s="15"/>
      <c r="C85" s="23"/>
      <c r="D85" s="24"/>
      <c r="E85" s="24"/>
      <c r="F85" s="24"/>
      <c r="G85" s="24"/>
      <c r="H85" s="23"/>
      <c r="I85" s="11"/>
      <c r="J85" s="25"/>
    </row>
    <row r="86" spans="1:10" s="1" customFormat="1">
      <c r="A86" s="9"/>
      <c r="B86" s="15"/>
      <c r="C86" s="23"/>
      <c r="D86" s="24"/>
      <c r="E86" s="24"/>
      <c r="F86" s="24"/>
      <c r="G86" s="24"/>
      <c r="H86" s="23"/>
      <c r="I86" s="11"/>
      <c r="J86" s="25"/>
    </row>
    <row r="87" spans="1:10" s="1" customFormat="1">
      <c r="A87" s="9"/>
      <c r="B87" s="15"/>
      <c r="C87" s="23"/>
      <c r="D87" s="24"/>
      <c r="E87" s="24"/>
      <c r="F87" s="24"/>
      <c r="G87" s="24"/>
      <c r="H87" s="23"/>
      <c r="I87" s="11"/>
      <c r="J87" s="25"/>
    </row>
    <row r="88" spans="1:10" s="1" customFormat="1">
      <c r="A88" s="9"/>
      <c r="B88" s="15"/>
      <c r="C88" s="23"/>
      <c r="D88" s="24"/>
      <c r="E88" s="24"/>
      <c r="F88" s="24"/>
      <c r="G88" s="24"/>
      <c r="H88" s="23"/>
      <c r="I88" s="11"/>
      <c r="J88" s="25"/>
    </row>
    <row r="89" spans="1:10" s="1" customFormat="1">
      <c r="A89" s="9"/>
      <c r="B89" s="15"/>
      <c r="C89" s="23"/>
      <c r="D89" s="24"/>
      <c r="E89" s="24"/>
      <c r="F89" s="24"/>
      <c r="G89" s="24"/>
      <c r="H89" s="23"/>
      <c r="I89" s="11"/>
      <c r="J89" s="25"/>
    </row>
    <row r="90" spans="1:10" s="1" customFormat="1">
      <c r="A90" s="9"/>
      <c r="B90" s="15"/>
      <c r="C90" s="23"/>
      <c r="D90" s="24"/>
      <c r="E90" s="24"/>
      <c r="F90" s="24"/>
      <c r="G90" s="24"/>
      <c r="H90" s="23"/>
      <c r="I90" s="11"/>
      <c r="J90" s="25"/>
    </row>
    <row r="91" spans="1:10" s="1" customFormat="1">
      <c r="A91" s="9"/>
      <c r="B91" s="15"/>
      <c r="C91" s="23"/>
      <c r="D91" s="24"/>
      <c r="E91" s="24"/>
      <c r="F91" s="24"/>
      <c r="G91" s="24"/>
      <c r="H91" s="23"/>
      <c r="I91" s="11"/>
      <c r="J91" s="25"/>
    </row>
    <row r="92" spans="1:10" s="1" customFormat="1">
      <c r="A92" s="9"/>
      <c r="B92" s="15"/>
      <c r="C92" s="23"/>
      <c r="D92" s="24"/>
      <c r="E92" s="24"/>
      <c r="F92" s="24"/>
      <c r="G92" s="24"/>
      <c r="H92" s="23"/>
      <c r="I92" s="11"/>
      <c r="J92" s="25"/>
    </row>
    <row r="93" spans="1:10" s="1" customFormat="1">
      <c r="A93" s="9"/>
      <c r="B93" s="15"/>
      <c r="C93" s="23"/>
      <c r="D93" s="24"/>
      <c r="E93" s="24"/>
      <c r="F93" s="24"/>
      <c r="G93" s="24"/>
      <c r="H93" s="23"/>
      <c r="I93" s="11"/>
      <c r="J93" s="25"/>
    </row>
    <row r="94" spans="1:10" s="1" customFormat="1">
      <c r="A94" s="9"/>
      <c r="B94" s="15"/>
      <c r="C94" s="23"/>
      <c r="D94" s="24"/>
      <c r="E94" s="24"/>
      <c r="F94" s="24"/>
      <c r="G94" s="24"/>
      <c r="H94" s="23"/>
      <c r="I94" s="11"/>
      <c r="J94" s="25"/>
    </row>
    <row r="95" spans="1:10" s="1" customFormat="1">
      <c r="A95" s="9"/>
      <c r="B95" s="15"/>
      <c r="C95" s="23"/>
      <c r="D95" s="24"/>
      <c r="E95" s="24"/>
      <c r="F95" s="24"/>
      <c r="G95" s="24"/>
      <c r="H95" s="23"/>
      <c r="I95" s="11"/>
      <c r="J95" s="25"/>
    </row>
    <row r="96" spans="1:10" s="1" customFormat="1">
      <c r="A96" s="9"/>
      <c r="B96" s="15"/>
      <c r="C96" s="23"/>
      <c r="D96" s="24"/>
      <c r="E96" s="24"/>
      <c r="F96" s="24"/>
      <c r="G96" s="24"/>
      <c r="H96" s="23"/>
      <c r="I96" s="11"/>
      <c r="J96" s="25"/>
    </row>
    <row r="97" spans="1:10" s="1" customFormat="1">
      <c r="A97" s="9"/>
      <c r="B97" s="15"/>
      <c r="C97" s="23"/>
      <c r="D97" s="24"/>
      <c r="E97" s="24"/>
      <c r="F97" s="24"/>
      <c r="G97" s="24"/>
      <c r="H97" s="23"/>
      <c r="I97" s="11"/>
      <c r="J97" s="25"/>
    </row>
    <row r="98" spans="1:10" s="1" customFormat="1">
      <c r="A98" s="9"/>
      <c r="B98" s="15"/>
      <c r="C98" s="23"/>
      <c r="D98" s="24"/>
      <c r="E98" s="24"/>
      <c r="F98" s="24"/>
      <c r="G98" s="24"/>
      <c r="H98" s="23"/>
      <c r="I98" s="11"/>
      <c r="J98" s="25"/>
    </row>
    <row r="99" spans="1:10" s="1" customFormat="1">
      <c r="A99" s="9"/>
      <c r="B99" s="15"/>
      <c r="C99" s="23"/>
      <c r="D99" s="24"/>
      <c r="E99" s="24"/>
      <c r="F99" s="24"/>
      <c r="G99" s="24"/>
      <c r="H99" s="23"/>
      <c r="I99" s="11"/>
      <c r="J99" s="25"/>
    </row>
    <row r="100" spans="1:10" s="1" customFormat="1">
      <c r="A100" s="9"/>
      <c r="B100" s="15"/>
      <c r="C100" s="23"/>
      <c r="D100" s="24"/>
      <c r="E100" s="24"/>
      <c r="F100" s="24"/>
      <c r="G100" s="24"/>
      <c r="H100" s="23"/>
      <c r="I100" s="11"/>
      <c r="J100" s="25"/>
    </row>
    <row r="101" spans="1:10" s="1" customFormat="1">
      <c r="A101" s="9"/>
      <c r="B101" s="15"/>
      <c r="C101" s="23"/>
      <c r="D101" s="24"/>
      <c r="E101" s="24"/>
      <c r="F101" s="24"/>
      <c r="G101" s="24"/>
      <c r="H101" s="23"/>
      <c r="I101" s="11"/>
      <c r="J101" s="25"/>
    </row>
    <row r="102" spans="1:10" s="1" customFormat="1">
      <c r="A102" s="9"/>
      <c r="B102" s="15"/>
      <c r="C102" s="23"/>
      <c r="D102" s="24"/>
      <c r="E102" s="24"/>
      <c r="F102" s="24"/>
      <c r="G102" s="24"/>
      <c r="H102" s="23"/>
      <c r="I102" s="11"/>
      <c r="J102" s="25"/>
    </row>
    <row r="103" spans="1:10" s="1" customFormat="1">
      <c r="A103" s="9"/>
      <c r="B103" s="15"/>
      <c r="C103" s="23"/>
      <c r="D103" s="24"/>
      <c r="E103" s="24"/>
      <c r="F103" s="24"/>
      <c r="G103" s="24"/>
      <c r="H103" s="23"/>
      <c r="I103" s="11"/>
      <c r="J103" s="25"/>
    </row>
    <row r="104" spans="1:10" s="1" customFormat="1">
      <c r="A104" s="9"/>
      <c r="B104" s="15"/>
      <c r="C104" s="23"/>
      <c r="D104" s="24"/>
      <c r="E104" s="24"/>
      <c r="F104" s="24"/>
      <c r="G104" s="24"/>
      <c r="H104" s="23"/>
      <c r="I104" s="11"/>
      <c r="J104" s="25"/>
    </row>
    <row r="105" spans="1:10" s="1" customFormat="1">
      <c r="A105" s="9"/>
      <c r="B105" s="15"/>
      <c r="C105" s="23"/>
      <c r="D105" s="24"/>
      <c r="E105" s="24"/>
      <c r="F105" s="24"/>
      <c r="G105" s="24"/>
      <c r="H105" s="23"/>
      <c r="I105" s="11"/>
      <c r="J105" s="25"/>
    </row>
    <row r="106" spans="1:10" s="1" customFormat="1">
      <c r="A106" s="9"/>
      <c r="B106" s="15"/>
      <c r="C106" s="23"/>
      <c r="D106" s="24"/>
      <c r="E106" s="24"/>
      <c r="F106" s="24"/>
      <c r="G106" s="24"/>
      <c r="H106" s="23"/>
      <c r="I106" s="11"/>
      <c r="J106" s="25"/>
    </row>
    <row r="107" spans="1:10" s="1" customFormat="1">
      <c r="A107" s="9"/>
      <c r="B107" s="15"/>
      <c r="C107" s="23"/>
      <c r="D107" s="24"/>
      <c r="E107" s="24"/>
      <c r="F107" s="24"/>
      <c r="G107" s="24"/>
      <c r="H107" s="23"/>
      <c r="I107" s="11"/>
      <c r="J107" s="25"/>
    </row>
    <row r="108" spans="1:10" s="1" customFormat="1">
      <c r="A108" s="9"/>
      <c r="B108" s="15"/>
      <c r="C108" s="23"/>
      <c r="D108" s="24"/>
      <c r="E108" s="24"/>
      <c r="F108" s="24"/>
      <c r="G108" s="24"/>
      <c r="H108" s="23"/>
      <c r="I108" s="11"/>
      <c r="J108" s="25"/>
    </row>
    <row r="109" spans="1:10" s="1" customFormat="1">
      <c r="A109" s="9"/>
      <c r="B109" s="15"/>
      <c r="C109" s="23"/>
      <c r="D109" s="24"/>
      <c r="E109" s="24"/>
      <c r="F109" s="24"/>
      <c r="G109" s="24"/>
      <c r="H109" s="23"/>
      <c r="I109" s="11"/>
      <c r="J109" s="25"/>
    </row>
    <row r="110" spans="1:10" s="1" customFormat="1">
      <c r="A110" s="9"/>
      <c r="B110" s="15"/>
      <c r="C110" s="23"/>
      <c r="D110" s="24"/>
      <c r="E110" s="24"/>
      <c r="F110" s="24"/>
      <c r="G110" s="24"/>
      <c r="H110" s="23"/>
      <c r="I110" s="11"/>
      <c r="J110" s="25"/>
    </row>
    <row r="111" spans="1:10" s="1" customFormat="1">
      <c r="A111" s="9"/>
      <c r="B111" s="15"/>
      <c r="C111" s="23"/>
      <c r="D111" s="24"/>
      <c r="E111" s="24"/>
      <c r="F111" s="24"/>
      <c r="G111" s="24"/>
      <c r="H111" s="23"/>
      <c r="I111" s="11"/>
      <c r="J111" s="25"/>
    </row>
    <row r="112" spans="1:10" s="1" customFormat="1">
      <c r="A112" s="9"/>
      <c r="B112" s="15"/>
      <c r="C112" s="23"/>
      <c r="D112" s="24"/>
      <c r="E112" s="24"/>
      <c r="F112" s="24"/>
      <c r="G112" s="24"/>
      <c r="H112" s="23"/>
      <c r="I112" s="11"/>
      <c r="J112" s="25"/>
    </row>
    <row r="113" spans="1:10" s="1" customFormat="1">
      <c r="A113" s="9"/>
      <c r="B113" s="15"/>
      <c r="C113" s="23"/>
      <c r="D113" s="24"/>
      <c r="E113" s="24"/>
      <c r="F113" s="24"/>
      <c r="G113" s="24"/>
      <c r="H113" s="23"/>
      <c r="I113" s="11"/>
      <c r="J113" s="25"/>
    </row>
    <row r="114" spans="1:10" s="1" customFormat="1">
      <c r="A114" s="9"/>
      <c r="B114" s="15"/>
      <c r="C114" s="23"/>
      <c r="D114" s="24"/>
      <c r="E114" s="24"/>
      <c r="F114" s="24"/>
      <c r="G114" s="24"/>
      <c r="H114" s="23"/>
      <c r="I114" s="11"/>
      <c r="J114" s="25"/>
    </row>
    <row r="115" spans="1:10" s="1" customFormat="1">
      <c r="A115" s="9"/>
      <c r="B115" s="15"/>
      <c r="C115" s="23"/>
      <c r="D115" s="24"/>
      <c r="E115" s="24"/>
      <c r="F115" s="24"/>
      <c r="G115" s="24"/>
      <c r="H115" s="23"/>
      <c r="I115" s="11"/>
      <c r="J115" s="25"/>
    </row>
    <row r="116" spans="1:10" s="1" customFormat="1">
      <c r="A116" s="9"/>
      <c r="B116" s="15"/>
      <c r="C116" s="23"/>
      <c r="D116" s="24"/>
      <c r="E116" s="24"/>
      <c r="F116" s="24"/>
      <c r="G116" s="24"/>
      <c r="H116" s="23"/>
      <c r="I116" s="11"/>
      <c r="J116" s="25"/>
    </row>
    <row r="117" spans="1:10" s="1" customFormat="1">
      <c r="A117" s="9"/>
      <c r="B117" s="15"/>
      <c r="C117" s="23"/>
      <c r="D117" s="24"/>
      <c r="E117" s="24"/>
      <c r="F117" s="24"/>
      <c r="G117" s="24"/>
      <c r="H117" s="23"/>
      <c r="I117" s="11"/>
      <c r="J117" s="25"/>
    </row>
    <row r="118" spans="1:10" s="1" customFormat="1">
      <c r="A118" s="9"/>
      <c r="B118" s="15"/>
      <c r="C118" s="23"/>
      <c r="D118" s="24"/>
      <c r="E118" s="24"/>
      <c r="F118" s="24"/>
      <c r="G118" s="24"/>
      <c r="H118" s="23"/>
      <c r="I118" s="11"/>
      <c r="J118" s="25"/>
    </row>
    <row r="119" spans="1:10" s="1" customFormat="1">
      <c r="A119" s="9"/>
      <c r="B119" s="15"/>
      <c r="C119" s="23"/>
      <c r="D119" s="24"/>
      <c r="E119" s="24"/>
      <c r="F119" s="24"/>
      <c r="G119" s="24"/>
      <c r="H119" s="23"/>
      <c r="I119" s="11"/>
      <c r="J119" s="25"/>
    </row>
    <row r="120" spans="1:10" s="1" customFormat="1">
      <c r="A120" s="9"/>
      <c r="B120" s="15"/>
      <c r="C120" s="23"/>
      <c r="D120" s="24"/>
      <c r="E120" s="24"/>
      <c r="F120" s="24"/>
      <c r="G120" s="24"/>
      <c r="H120" s="23"/>
      <c r="I120" s="11"/>
      <c r="J120" s="25"/>
    </row>
    <row r="121" spans="1:10" s="1" customFormat="1">
      <c r="A121" s="9"/>
      <c r="B121" s="15"/>
      <c r="C121" s="23"/>
      <c r="D121" s="24"/>
      <c r="E121" s="24"/>
      <c r="F121" s="24"/>
      <c r="G121" s="24"/>
      <c r="H121" s="23"/>
      <c r="I121" s="11"/>
      <c r="J121" s="25"/>
    </row>
    <row r="122" spans="1:10" s="1" customFormat="1">
      <c r="A122" s="9"/>
      <c r="B122" s="15"/>
      <c r="C122" s="23"/>
      <c r="D122" s="24"/>
      <c r="E122" s="24"/>
      <c r="F122" s="24"/>
      <c r="G122" s="24"/>
      <c r="H122" s="23"/>
      <c r="I122" s="11"/>
      <c r="J122" s="25"/>
    </row>
    <row r="123" spans="1:10" s="1" customFormat="1">
      <c r="A123" s="9"/>
      <c r="B123" s="15"/>
      <c r="C123" s="23"/>
      <c r="D123" s="24"/>
      <c r="E123" s="24"/>
      <c r="F123" s="24"/>
      <c r="G123" s="24"/>
      <c r="H123" s="23"/>
      <c r="I123" s="11"/>
      <c r="J123" s="25"/>
    </row>
    <row r="124" spans="1:10" s="1" customFormat="1">
      <c r="A124" s="9"/>
      <c r="B124" s="15"/>
      <c r="C124" s="23"/>
      <c r="D124" s="24"/>
      <c r="E124" s="24"/>
      <c r="F124" s="24"/>
      <c r="G124" s="24"/>
      <c r="H124" s="23"/>
      <c r="I124" s="11"/>
      <c r="J124" s="25"/>
    </row>
    <row r="125" spans="1:10" s="1" customFormat="1">
      <c r="A125" s="9"/>
      <c r="B125" s="15"/>
      <c r="C125" s="23"/>
      <c r="D125" s="24"/>
      <c r="E125" s="24"/>
      <c r="F125" s="24"/>
      <c r="G125" s="24"/>
      <c r="H125" s="23"/>
      <c r="I125" s="11"/>
      <c r="J125" s="25"/>
    </row>
    <row r="126" spans="1:10" s="1" customFormat="1">
      <c r="A126" s="9"/>
      <c r="B126" s="15"/>
      <c r="C126" s="23"/>
      <c r="D126" s="24"/>
      <c r="E126" s="24"/>
      <c r="F126" s="24"/>
      <c r="G126" s="24"/>
      <c r="H126" s="23"/>
      <c r="I126" s="11"/>
      <c r="J126" s="25"/>
    </row>
    <row r="127" spans="1:10" s="1" customFormat="1">
      <c r="A127" s="9"/>
      <c r="B127" s="15"/>
      <c r="C127" s="23"/>
      <c r="D127" s="24"/>
      <c r="E127" s="24"/>
      <c r="F127" s="24"/>
      <c r="G127" s="24"/>
      <c r="H127" s="23"/>
      <c r="I127" s="11"/>
      <c r="J127" s="25"/>
    </row>
    <row r="128" spans="1:10" s="1" customFormat="1">
      <c r="A128" s="9"/>
      <c r="B128" s="15"/>
      <c r="C128" s="23"/>
      <c r="D128" s="24"/>
      <c r="E128" s="24"/>
      <c r="F128" s="24"/>
      <c r="G128" s="24"/>
      <c r="H128" s="23"/>
      <c r="I128" s="11"/>
      <c r="J128" s="25"/>
    </row>
    <row r="129" spans="1:10" s="1" customFormat="1">
      <c r="A129" s="9"/>
      <c r="B129" s="15"/>
      <c r="C129" s="23"/>
      <c r="D129" s="24"/>
      <c r="E129" s="24"/>
      <c r="F129" s="24"/>
      <c r="G129" s="24"/>
      <c r="H129" s="23"/>
      <c r="I129" s="11"/>
      <c r="J129" s="25"/>
    </row>
    <row r="130" spans="1:10" s="1" customFormat="1">
      <c r="A130" s="9"/>
      <c r="B130" s="15"/>
      <c r="C130" s="23"/>
      <c r="D130" s="24"/>
      <c r="E130" s="24"/>
      <c r="F130" s="24"/>
      <c r="G130" s="24"/>
      <c r="H130" s="23"/>
      <c r="I130" s="11"/>
      <c r="J130" s="25"/>
    </row>
    <row r="131" spans="1:10" s="1" customFormat="1">
      <c r="A131" s="9"/>
      <c r="B131" s="15"/>
      <c r="C131" s="23"/>
      <c r="D131" s="24"/>
      <c r="E131" s="24"/>
      <c r="F131" s="24"/>
      <c r="G131" s="24"/>
      <c r="H131" s="23"/>
      <c r="I131" s="11"/>
      <c r="J131" s="25"/>
    </row>
    <row r="132" spans="1:10" s="1" customFormat="1">
      <c r="A132" s="9"/>
      <c r="B132" s="15"/>
      <c r="C132" s="23"/>
      <c r="D132" s="24"/>
      <c r="E132" s="24"/>
      <c r="F132" s="24"/>
      <c r="G132" s="24"/>
      <c r="H132" s="23"/>
      <c r="I132" s="11"/>
      <c r="J132" s="25"/>
    </row>
    <row r="133" spans="1:10" s="1" customFormat="1">
      <c r="A133" s="9"/>
      <c r="B133" s="15"/>
      <c r="C133" s="23"/>
      <c r="D133" s="24"/>
      <c r="E133" s="24"/>
      <c r="F133" s="24"/>
      <c r="G133" s="24"/>
      <c r="H133" s="23"/>
      <c r="I133" s="11"/>
      <c r="J133" s="25"/>
    </row>
    <row r="134" spans="1:10" s="1" customFormat="1">
      <c r="A134" s="9"/>
      <c r="B134" s="15"/>
      <c r="C134" s="23"/>
      <c r="D134" s="24"/>
      <c r="E134" s="24"/>
      <c r="F134" s="24"/>
      <c r="G134" s="24"/>
      <c r="H134" s="23"/>
      <c r="I134" s="11"/>
      <c r="J134" s="25"/>
    </row>
    <row r="135" spans="1:10" s="1" customFormat="1">
      <c r="A135" s="9"/>
      <c r="B135" s="15"/>
      <c r="C135" s="23"/>
      <c r="D135" s="24"/>
      <c r="E135" s="24"/>
      <c r="F135" s="24"/>
      <c r="G135" s="24"/>
      <c r="H135" s="23"/>
      <c r="I135" s="11"/>
      <c r="J135" s="25"/>
    </row>
    <row r="136" spans="1:10" s="1" customFormat="1">
      <c r="A136" s="9"/>
      <c r="B136" s="15"/>
      <c r="C136" s="23"/>
      <c r="D136" s="24"/>
      <c r="E136" s="24"/>
      <c r="F136" s="24"/>
      <c r="G136" s="24"/>
      <c r="H136" s="23"/>
      <c r="I136" s="11"/>
      <c r="J136" s="25"/>
    </row>
    <row r="137" spans="1:10" s="1" customFormat="1">
      <c r="A137" s="9"/>
      <c r="B137" s="15"/>
      <c r="C137" s="23"/>
      <c r="D137" s="24"/>
      <c r="E137" s="24"/>
      <c r="F137" s="24"/>
      <c r="G137" s="24"/>
      <c r="H137" s="23"/>
      <c r="I137" s="11"/>
      <c r="J137" s="25"/>
    </row>
    <row r="138" spans="1:10" s="1" customFormat="1">
      <c r="A138" s="9"/>
      <c r="B138" s="15"/>
      <c r="C138" s="23"/>
      <c r="D138" s="24"/>
      <c r="E138" s="24"/>
      <c r="F138" s="24"/>
      <c r="G138" s="24"/>
      <c r="H138" s="23"/>
      <c r="I138" s="11"/>
      <c r="J138" s="25"/>
    </row>
    <row r="139" spans="1:10" s="1" customFormat="1">
      <c r="A139" s="9"/>
      <c r="B139" s="15"/>
      <c r="C139" s="23"/>
      <c r="D139" s="24"/>
      <c r="E139" s="24"/>
      <c r="F139" s="24"/>
      <c r="G139" s="24"/>
      <c r="H139" s="23"/>
      <c r="I139" s="11"/>
      <c r="J139" s="25"/>
    </row>
    <row r="140" spans="1:10" s="1" customFormat="1" ht="18.75" customHeight="1">
      <c r="A140" s="9"/>
      <c r="B140" s="34" t="s">
        <v>68</v>
      </c>
      <c r="C140" s="32"/>
      <c r="D140" s="32"/>
      <c r="E140" s="32">
        <f>COUNTIF(E$6:E$138,"3")</f>
        <v>0</v>
      </c>
      <c r="F140" s="32">
        <f>COUNTIF(F$6:F$138,"5")</f>
        <v>0</v>
      </c>
      <c r="G140" s="32">
        <f>COUNTIF(G$6:G$138,"24")</f>
        <v>0</v>
      </c>
      <c r="H140" s="32">
        <f>COUNTIF(H$6:H$138,"220")</f>
        <v>0</v>
      </c>
      <c r="I140" s="32">
        <f>SUM(I6:I138)</f>
        <v>0</v>
      </c>
      <c r="J140" s="26"/>
    </row>
    <row r="141" spans="1:10" s="1" customFormat="1" ht="18.75" customHeight="1">
      <c r="A141" s="9"/>
      <c r="B141" s="35" t="s">
        <v>70</v>
      </c>
      <c r="C141" s="33"/>
      <c r="D141" s="33">
        <f>SUM(D6:D138)</f>
        <v>0</v>
      </c>
      <c r="E141" s="33"/>
      <c r="F141" s="33"/>
      <c r="G141" s="33"/>
      <c r="H141" s="33"/>
      <c r="I141" s="33"/>
      <c r="J141" s="33"/>
    </row>
    <row r="142" spans="1:10" s="1" customFormat="1" ht="18.75" customHeight="1">
      <c r="A142" s="9"/>
      <c r="B142" s="35" t="s">
        <v>69</v>
      </c>
      <c r="C142" s="33">
        <v>10</v>
      </c>
      <c r="D142" s="463" t="str">
        <f>IF(C142&lt;D141,"Выше нормы","Норма")</f>
        <v>Норма</v>
      </c>
      <c r="E142" s="464"/>
      <c r="F142" s="464"/>
      <c r="G142" s="464"/>
      <c r="H142" s="464"/>
      <c r="I142" s="464"/>
      <c r="J142" s="465"/>
    </row>
    <row r="143" spans="1:10" s="1" customFormat="1" ht="18.75" customHeight="1">
      <c r="A143" s="9"/>
      <c r="B143" s="35" t="s">
        <v>58</v>
      </c>
      <c r="C143" s="33">
        <f>SUM(C6:C138)</f>
        <v>0</v>
      </c>
      <c r="D143" s="33"/>
      <c r="E143" s="33"/>
      <c r="F143" s="33"/>
      <c r="G143" s="33"/>
      <c r="H143" s="33"/>
      <c r="I143" s="33"/>
      <c r="J143" s="33"/>
    </row>
    <row r="144" spans="1:10" s="1" customFormat="1" ht="18.75" customHeight="1">
      <c r="A144" s="9"/>
      <c r="B144" s="35" t="s">
        <v>11</v>
      </c>
      <c r="C144" s="33">
        <v>1000</v>
      </c>
      <c r="D144" s="463" t="str">
        <f>IF(C144&lt;D143,"Выше нормы","Норма")</f>
        <v>Норма</v>
      </c>
      <c r="E144" s="464"/>
      <c r="F144" s="464"/>
      <c r="G144" s="464"/>
      <c r="H144" s="464"/>
      <c r="I144" s="464"/>
      <c r="J144" s="465"/>
    </row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</sheetData>
  <mergeCells count="2">
    <mergeCell ref="D142:J142"/>
    <mergeCell ref="D144:J144"/>
  </mergeCells>
  <conditionalFormatting sqref="J7:J8 C6:J6 J95:J141 C140:I141 C142:D142 I7:I138">
    <cfRule type="cellIs" dxfId="95" priority="46" operator="equal">
      <formula>0</formula>
    </cfRule>
  </conditionalFormatting>
  <conditionalFormatting sqref="J9">
    <cfRule type="cellIs" dxfId="94" priority="36" operator="equal">
      <formula>0</formula>
    </cfRule>
  </conditionalFormatting>
  <conditionalFormatting sqref="B140:B144">
    <cfRule type="cellIs" dxfId="93" priority="33" operator="equal">
      <formula>0</formula>
    </cfRule>
  </conditionalFormatting>
  <conditionalFormatting sqref="J10:J94">
    <cfRule type="cellIs" dxfId="92" priority="28" operator="equal">
      <formula>0</formula>
    </cfRule>
  </conditionalFormatting>
  <conditionalFormatting sqref="G139">
    <cfRule type="cellIs" dxfId="91" priority="20" operator="equal">
      <formula>0</formula>
    </cfRule>
  </conditionalFormatting>
  <conditionalFormatting sqref="C139">
    <cfRule type="cellIs" dxfId="90" priority="14" operator="equal">
      <formula>0</formula>
    </cfRule>
  </conditionalFormatting>
  <conditionalFormatting sqref="E139">
    <cfRule type="cellIs" dxfId="89" priority="23" operator="equal">
      <formula>0</formula>
    </cfRule>
  </conditionalFormatting>
  <conditionalFormatting sqref="F139">
    <cfRule type="cellIs" dxfId="88" priority="21" operator="equal">
      <formula>0</formula>
    </cfRule>
  </conditionalFormatting>
  <conditionalFormatting sqref="H139">
    <cfRule type="cellIs" dxfId="87" priority="19" operator="equal">
      <formula>0</formula>
    </cfRule>
  </conditionalFormatting>
  <conditionalFormatting sqref="D139">
    <cfRule type="cellIs" dxfId="86" priority="18" operator="equal">
      <formula>0</formula>
    </cfRule>
  </conditionalFormatting>
  <conditionalFormatting sqref="I139">
    <cfRule type="cellIs" dxfId="85" priority="16" operator="equal">
      <formula>0</formula>
    </cfRule>
  </conditionalFormatting>
  <conditionalFormatting sqref="H7:H138">
    <cfRule type="cellIs" dxfId="84" priority="6" operator="equal">
      <formula>0</formula>
    </cfRule>
  </conditionalFormatting>
  <conditionalFormatting sqref="D7:D138">
    <cfRule type="cellIs" dxfId="83" priority="12" operator="equal">
      <formula>0</formula>
    </cfRule>
  </conditionalFormatting>
  <conditionalFormatting sqref="E7:E138">
    <cfRule type="cellIs" dxfId="82" priority="11" operator="equal">
      <formula>0</formula>
    </cfRule>
  </conditionalFormatting>
  <conditionalFormatting sqref="C7:C138">
    <cfRule type="cellIs" dxfId="81" priority="5" operator="equal">
      <formula>0</formula>
    </cfRule>
  </conditionalFormatting>
  <conditionalFormatting sqref="F7:F138">
    <cfRule type="cellIs" dxfId="80" priority="9" operator="equal">
      <formula>0</formula>
    </cfRule>
  </conditionalFormatting>
  <conditionalFormatting sqref="G7:G138">
    <cfRule type="cellIs" dxfId="79" priority="8" operator="equal">
      <formula>0</formula>
    </cfRule>
  </conditionalFormatting>
  <conditionalFormatting sqref="C143:J143 C144">
    <cfRule type="cellIs" dxfId="78" priority="2" operator="equal">
      <formula>0</formula>
    </cfRule>
  </conditionalFormatting>
  <conditionalFormatting sqref="D144">
    <cfRule type="cellIs" dxfId="77" priority="1" operator="equal">
      <formula>0</formula>
    </cfRule>
  </conditionalFormatting>
  <printOptions horizontalCentered="1"/>
  <pageMargins left="0.59055118110236227" right="0.59055118110236227" top="0.59055118110236227" bottom="0.39370078740157483" header="0.31496062992125984" footer="0.31496062992125984"/>
  <pageSetup paperSize="9" scale="40" fitToHeight="3" orientation="landscape" r:id="rId1"/>
  <headerFooter>
    <oddFooter>&amp;R&amp;"arial,Полужирный"&amp;P (&amp;N)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D2D1-5D7E-4A62-A257-64EE4CAA939B}">
  <sheetPr codeName="Лист1">
    <tabColor theme="9" tint="-0.249977111117893"/>
  </sheetPr>
  <dimension ref="A1:M58"/>
  <sheetViews>
    <sheetView topLeftCell="B1" workbookViewId="0"/>
  </sheetViews>
  <sheetFormatPr defaultColWidth="9.140625" defaultRowHeight="15"/>
  <cols>
    <col min="1" max="1" width="3.28515625" style="180" hidden="1" customWidth="1"/>
    <col min="2" max="2" width="1.85546875" style="180" customWidth="1"/>
    <col min="3" max="3" width="8.140625" style="180" customWidth="1"/>
    <col min="4" max="4" width="3.85546875" style="191" customWidth="1"/>
    <col min="5" max="5" width="42.7109375" style="191" customWidth="1"/>
    <col min="6" max="6" width="34.42578125" style="191" customWidth="1"/>
    <col min="7" max="7" width="15.7109375" style="191" hidden="1" customWidth="1"/>
    <col min="8" max="8" width="16.42578125" style="191" customWidth="1"/>
    <col min="9" max="9" width="15.7109375" style="180" customWidth="1"/>
    <col min="10" max="10" width="21.85546875" style="180" customWidth="1"/>
    <col min="11" max="13" width="15.7109375" style="180" hidden="1" customWidth="1"/>
    <col min="14" max="14" width="25.140625" style="180" customWidth="1"/>
    <col min="15" max="16384" width="9.140625" style="180"/>
  </cols>
  <sheetData>
    <row r="1" spans="3:13" s="168" customFormat="1" ht="91.5" customHeight="1">
      <c r="D1" s="169"/>
      <c r="E1" s="487" t="s">
        <v>188</v>
      </c>
      <c r="F1" s="488"/>
      <c r="G1" s="488"/>
      <c r="H1" s="488"/>
      <c r="I1" s="488"/>
      <c r="J1" s="488"/>
      <c r="K1" s="488"/>
      <c r="L1" s="488"/>
      <c r="M1" s="488"/>
    </row>
    <row r="2" spans="3:13" s="170" customFormat="1" ht="89.45" customHeight="1">
      <c r="D2" s="171"/>
      <c r="E2" s="489" t="s">
        <v>190</v>
      </c>
      <c r="F2" s="489"/>
      <c r="G2" s="489"/>
      <c r="H2" s="489"/>
      <c r="I2" s="489"/>
      <c r="J2" s="489"/>
    </row>
    <row r="3" spans="3:13" s="172" customFormat="1" ht="42" hidden="1">
      <c r="D3" s="173"/>
      <c r="E3" s="174" t="s">
        <v>126</v>
      </c>
      <c r="F3" s="175">
        <v>0</v>
      </c>
      <c r="G3" s="176" t="s">
        <v>127</v>
      </c>
      <c r="H3" s="177" t="s">
        <v>128</v>
      </c>
      <c r="I3" s="178" t="s">
        <v>129</v>
      </c>
      <c r="J3" s="178" t="s">
        <v>130</v>
      </c>
      <c r="K3" s="178" t="s">
        <v>131</v>
      </c>
      <c r="L3" s="179" t="s">
        <v>132</v>
      </c>
      <c r="M3" s="179" t="s">
        <v>133</v>
      </c>
    </row>
    <row r="4" spans="3:13" ht="25.15" hidden="1" customHeight="1">
      <c r="D4" s="490"/>
      <c r="E4" s="181">
        <v>1</v>
      </c>
      <c r="F4" s="182" t="e">
        <f>#REF!</f>
        <v>#REF!</v>
      </c>
      <c r="G4" s="183">
        <f>F12*(1-$F$3)</f>
        <v>0</v>
      </c>
      <c r="H4" s="183">
        <f>H12*(1-$F$3)</f>
        <v>0</v>
      </c>
      <c r="I4" s="183">
        <f t="shared" ref="I4:M4" si="0">I12*(1-$F$3)</f>
        <v>0</v>
      </c>
      <c r="J4" s="183">
        <f t="shared" si="0"/>
        <v>0</v>
      </c>
      <c r="K4" s="183">
        <f t="shared" si="0"/>
        <v>0</v>
      </c>
      <c r="L4" s="183">
        <f t="shared" si="0"/>
        <v>0</v>
      </c>
      <c r="M4" s="183">
        <f t="shared" si="0"/>
        <v>0</v>
      </c>
    </row>
    <row r="5" spans="3:13" s="184" customFormat="1" ht="25.15" hidden="1" customHeight="1">
      <c r="D5" s="490"/>
      <c r="E5" s="185">
        <v>10</v>
      </c>
      <c r="F5" s="186" t="e">
        <f>#REF!</f>
        <v>#REF!</v>
      </c>
      <c r="G5" s="187" t="e">
        <f t="shared" ref="G5:G10" si="1">F$12*(1-$F5)</f>
        <v>#REF!</v>
      </c>
      <c r="H5" s="187" t="e">
        <f>H$4*(1-$F5)</f>
        <v>#REF!</v>
      </c>
      <c r="I5" s="187" t="e">
        <f t="shared" ref="I5:M10" si="2">I$4*(1-$F5)</f>
        <v>#REF!</v>
      </c>
      <c r="J5" s="187" t="e">
        <f t="shared" si="2"/>
        <v>#REF!</v>
      </c>
      <c r="K5" s="187" t="e">
        <f t="shared" si="2"/>
        <v>#REF!</v>
      </c>
      <c r="L5" s="187" t="e">
        <f t="shared" si="2"/>
        <v>#REF!</v>
      </c>
      <c r="M5" s="187" t="e">
        <f t="shared" si="2"/>
        <v>#REF!</v>
      </c>
    </row>
    <row r="6" spans="3:13" ht="25.15" hidden="1" customHeight="1">
      <c r="D6" s="490"/>
      <c r="E6" s="181">
        <v>50</v>
      </c>
      <c r="F6" s="182" t="e">
        <f>#REF!</f>
        <v>#REF!</v>
      </c>
      <c r="G6" s="183" t="e">
        <f t="shared" si="1"/>
        <v>#REF!</v>
      </c>
      <c r="H6" s="183" t="e">
        <f t="shared" ref="H6:H10" si="3">H$4*(1-$F6)</f>
        <v>#REF!</v>
      </c>
      <c r="I6" s="183" t="e">
        <f t="shared" si="2"/>
        <v>#REF!</v>
      </c>
      <c r="J6" s="183" t="e">
        <f t="shared" si="2"/>
        <v>#REF!</v>
      </c>
      <c r="K6" s="183" t="e">
        <f t="shared" si="2"/>
        <v>#REF!</v>
      </c>
      <c r="L6" s="183" t="e">
        <f t="shared" si="2"/>
        <v>#REF!</v>
      </c>
      <c r="M6" s="183" t="e">
        <f t="shared" si="2"/>
        <v>#REF!</v>
      </c>
    </row>
    <row r="7" spans="3:13" ht="25.15" hidden="1" customHeight="1">
      <c r="D7" s="490"/>
      <c r="E7" s="188">
        <v>100</v>
      </c>
      <c r="F7" s="189" t="e">
        <f>#REF!</f>
        <v>#REF!</v>
      </c>
      <c r="G7" s="190" t="e">
        <f t="shared" si="1"/>
        <v>#REF!</v>
      </c>
      <c r="H7" s="190" t="e">
        <f t="shared" si="3"/>
        <v>#REF!</v>
      </c>
      <c r="I7" s="190" t="e">
        <f t="shared" si="2"/>
        <v>#REF!</v>
      </c>
      <c r="J7" s="190" t="e">
        <f t="shared" si="2"/>
        <v>#REF!</v>
      </c>
      <c r="K7" s="190" t="e">
        <f t="shared" si="2"/>
        <v>#REF!</v>
      </c>
      <c r="L7" s="190" t="e">
        <f t="shared" si="2"/>
        <v>#REF!</v>
      </c>
      <c r="M7" s="190" t="e">
        <f t="shared" si="2"/>
        <v>#REF!</v>
      </c>
    </row>
    <row r="8" spans="3:13" ht="25.15" hidden="1" customHeight="1">
      <c r="D8" s="490"/>
      <c r="E8" s="188">
        <v>500</v>
      </c>
      <c r="F8" s="189" t="e">
        <f>#REF!</f>
        <v>#REF!</v>
      </c>
      <c r="G8" s="190" t="e">
        <f t="shared" si="1"/>
        <v>#REF!</v>
      </c>
      <c r="H8" s="190" t="e">
        <f t="shared" si="3"/>
        <v>#REF!</v>
      </c>
      <c r="I8" s="190" t="e">
        <f t="shared" si="2"/>
        <v>#REF!</v>
      </c>
      <c r="J8" s="190" t="e">
        <f>J$4*(1-$F8)</f>
        <v>#REF!</v>
      </c>
      <c r="K8" s="190" t="e">
        <f t="shared" si="2"/>
        <v>#REF!</v>
      </c>
      <c r="L8" s="190" t="e">
        <f t="shared" si="2"/>
        <v>#REF!</v>
      </c>
      <c r="M8" s="190" t="e">
        <f t="shared" si="2"/>
        <v>#REF!</v>
      </c>
    </row>
    <row r="9" spans="3:13" ht="25.15" hidden="1" customHeight="1">
      <c r="D9" s="490"/>
      <c r="E9" s="188">
        <v>1000</v>
      </c>
      <c r="F9" s="189" t="e">
        <f>#REF!</f>
        <v>#REF!</v>
      </c>
      <c r="G9" s="190" t="e">
        <f t="shared" si="1"/>
        <v>#REF!</v>
      </c>
      <c r="H9" s="190" t="e">
        <f t="shared" si="3"/>
        <v>#REF!</v>
      </c>
      <c r="I9" s="190" t="e">
        <f t="shared" si="2"/>
        <v>#REF!</v>
      </c>
      <c r="J9" s="190" t="e">
        <f t="shared" si="2"/>
        <v>#REF!</v>
      </c>
      <c r="K9" s="190" t="e">
        <f t="shared" si="2"/>
        <v>#REF!</v>
      </c>
      <c r="L9" s="190" t="e">
        <f t="shared" si="2"/>
        <v>#REF!</v>
      </c>
      <c r="M9" s="190" t="e">
        <f t="shared" si="2"/>
        <v>#REF!</v>
      </c>
    </row>
    <row r="10" spans="3:13" ht="49.9" hidden="1" customHeight="1">
      <c r="D10" s="490"/>
      <c r="E10" s="188">
        <v>2000</v>
      </c>
      <c r="F10" s="189" t="e">
        <f>#REF!</f>
        <v>#REF!</v>
      </c>
      <c r="G10" s="190" t="e">
        <f t="shared" si="1"/>
        <v>#REF!</v>
      </c>
      <c r="H10" s="190" t="e">
        <f t="shared" si="3"/>
        <v>#REF!</v>
      </c>
      <c r="I10" s="190" t="e">
        <f t="shared" si="2"/>
        <v>#REF!</v>
      </c>
      <c r="J10" s="190" t="e">
        <f t="shared" si="2"/>
        <v>#REF!</v>
      </c>
      <c r="K10" s="190" t="e">
        <f t="shared" si="2"/>
        <v>#REF!</v>
      </c>
      <c r="L10" s="190" t="e">
        <f t="shared" si="2"/>
        <v>#REF!</v>
      </c>
      <c r="M10" s="190" t="e">
        <f t="shared" si="2"/>
        <v>#REF!</v>
      </c>
    </row>
    <row r="11" spans="3:13" ht="15.75">
      <c r="E11" s="192"/>
      <c r="F11" s="192"/>
      <c r="G11" s="192"/>
      <c r="H11" s="192"/>
      <c r="I11" s="192"/>
      <c r="J11" s="192"/>
      <c r="K11" s="192"/>
      <c r="L11" s="192"/>
      <c r="M11" s="192"/>
    </row>
    <row r="12" spans="3:13" s="193" customFormat="1" ht="44.45" customHeight="1" thickBot="1">
      <c r="D12" s="194"/>
      <c r="E12" s="482" t="s">
        <v>134</v>
      </c>
      <c r="F12" s="483"/>
      <c r="G12" s="195">
        <f>SUMPRODUCT(PLC_WB7[N10],Price[N10])</f>
        <v>0</v>
      </c>
      <c r="H12" s="195">
        <f>SUMPRODUCT(PLC_WB7[N100],Price[100])</f>
        <v>0</v>
      </c>
      <c r="I12" s="195">
        <f>SUMPRODUCT(PLC_WB7[N500],Price[500])</f>
        <v>0</v>
      </c>
      <c r="J12" s="195">
        <f>SUMPRODUCT(PLC_WB7[N1000],Price[1000])</f>
        <v>0</v>
      </c>
      <c r="K12" s="195">
        <f>SUMPRODUCT(PLC_WB7[N2500],Price[2500])</f>
        <v>0</v>
      </c>
      <c r="L12" s="195">
        <f>SUMPRODUCT(PLC_WB7[N5000],Price[5000])</f>
        <v>0</v>
      </c>
      <c r="M12" s="195">
        <f>SUMPRODUCT(PLC_WB7[N10000],Price[10000])</f>
        <v>0</v>
      </c>
    </row>
    <row r="13" spans="3:13" ht="27" customHeight="1" thickBot="1">
      <c r="C13" s="484" t="s">
        <v>135</v>
      </c>
      <c r="D13" s="485"/>
      <c r="E13" s="485"/>
      <c r="F13" s="268" t="s">
        <v>136</v>
      </c>
      <c r="G13" s="198" t="s">
        <v>127</v>
      </c>
      <c r="H13" s="198" t="s">
        <v>128</v>
      </c>
      <c r="I13" s="199" t="s">
        <v>129</v>
      </c>
      <c r="J13" s="199" t="s">
        <v>130</v>
      </c>
      <c r="K13" s="199" t="s">
        <v>131</v>
      </c>
      <c r="L13" s="200" t="s">
        <v>132</v>
      </c>
      <c r="M13" s="200" t="s">
        <v>133</v>
      </c>
    </row>
    <row r="14" spans="3:13" ht="27" hidden="1" customHeight="1">
      <c r="C14" s="475" t="s">
        <v>137</v>
      </c>
      <c r="D14" s="476"/>
      <c r="E14" s="476"/>
      <c r="F14" s="268"/>
      <c r="G14" s="201"/>
      <c r="H14" s="202"/>
      <c r="I14" s="202"/>
      <c r="J14" s="202"/>
      <c r="K14" s="202"/>
      <c r="L14" s="203"/>
      <c r="M14" s="203"/>
    </row>
    <row r="15" spans="3:13" ht="135" hidden="1" customHeight="1">
      <c r="C15" s="204"/>
      <c r="D15" s="478" t="s">
        <v>138</v>
      </c>
      <c r="E15" s="478"/>
      <c r="F15" s="268"/>
      <c r="G15" s="201"/>
      <c r="H15" s="202"/>
      <c r="I15" s="202"/>
      <c r="J15" s="202"/>
      <c r="K15" s="202"/>
      <c r="L15" s="203"/>
      <c r="M15" s="203"/>
    </row>
    <row r="16" spans="3:13" ht="19.149999999999999" hidden="1" customHeight="1" thickBot="1">
      <c r="C16" s="204"/>
      <c r="D16" s="478" t="s">
        <v>139</v>
      </c>
      <c r="E16" s="478"/>
      <c r="F16" s="268"/>
      <c r="G16" s="201"/>
      <c r="H16" s="202"/>
      <c r="I16" s="202"/>
      <c r="J16" s="202"/>
      <c r="K16" s="202"/>
      <c r="L16" s="203"/>
      <c r="M16" s="203"/>
    </row>
    <row r="17" spans="3:13" ht="59.45" customHeight="1">
      <c r="C17" s="206"/>
      <c r="D17" s="207"/>
      <c r="E17" s="207" t="s">
        <v>140</v>
      </c>
      <c r="F17" s="269" t="s">
        <v>174</v>
      </c>
      <c r="G17" s="266"/>
      <c r="H17" s="209"/>
      <c r="I17" s="209"/>
      <c r="J17" s="209"/>
      <c r="K17" s="209"/>
      <c r="L17" s="209"/>
      <c r="M17" s="210"/>
    </row>
    <row r="18" spans="3:13" ht="75" hidden="1">
      <c r="C18" s="466" t="s">
        <v>142</v>
      </c>
      <c r="D18" s="481" t="s">
        <v>143</v>
      </c>
      <c r="E18" s="491"/>
      <c r="F18" s="220" t="s">
        <v>144</v>
      </c>
      <c r="G18" s="267"/>
      <c r="H18" s="213"/>
      <c r="I18" s="214"/>
      <c r="J18" s="214"/>
      <c r="K18" s="214"/>
      <c r="L18" s="215"/>
      <c r="M18" s="216"/>
    </row>
    <row r="19" spans="3:13" ht="27.75" customHeight="1">
      <c r="C19" s="480"/>
      <c r="D19" s="481" t="s">
        <v>145</v>
      </c>
      <c r="E19" s="491"/>
      <c r="F19" s="220" t="s">
        <v>189</v>
      </c>
      <c r="G19" s="218"/>
      <c r="H19" s="217"/>
      <c r="I19" s="217"/>
      <c r="J19" s="217"/>
      <c r="K19" s="217"/>
      <c r="L19" s="217"/>
      <c r="M19" s="219"/>
    </row>
    <row r="20" spans="3:13" ht="75">
      <c r="C20" s="480"/>
      <c r="D20" s="473" t="s">
        <v>146</v>
      </c>
      <c r="E20" s="492"/>
      <c r="F20" s="220" t="s">
        <v>147</v>
      </c>
      <c r="G20" s="218"/>
      <c r="H20" s="217"/>
      <c r="I20" s="217"/>
      <c r="J20" s="217"/>
      <c r="K20" s="217"/>
      <c r="L20" s="217"/>
      <c r="M20" s="219"/>
    </row>
    <row r="21" spans="3:13" ht="34.15" customHeight="1">
      <c r="C21" s="480"/>
      <c r="D21" s="473" t="s">
        <v>148</v>
      </c>
      <c r="E21" s="473"/>
      <c r="F21" s="222" t="s">
        <v>149</v>
      </c>
      <c r="G21" s="218"/>
      <c r="H21" s="218"/>
      <c r="I21" s="218"/>
      <c r="J21" s="218"/>
      <c r="K21" s="218"/>
      <c r="L21" s="218"/>
      <c r="M21" s="223"/>
    </row>
    <row r="22" spans="3:13" ht="30.6" customHeight="1" thickBot="1">
      <c r="C22" s="467"/>
      <c r="D22" s="474"/>
      <c r="E22" s="474"/>
      <c r="F22" s="224"/>
      <c r="G22" s="225"/>
      <c r="H22" s="225"/>
      <c r="I22" s="225"/>
      <c r="J22" s="225"/>
      <c r="K22" s="225"/>
      <c r="L22" s="225"/>
      <c r="M22" s="226"/>
    </row>
    <row r="23" spans="3:13" ht="14.45" customHeight="1">
      <c r="C23" s="470" t="s">
        <v>150</v>
      </c>
      <c r="D23" s="472" t="s">
        <v>151</v>
      </c>
      <c r="E23" s="472"/>
      <c r="F23" s="227"/>
      <c r="G23" s="215"/>
      <c r="H23" s="228"/>
      <c r="I23" s="228"/>
      <c r="J23" s="229"/>
      <c r="K23" s="229"/>
      <c r="L23" s="228"/>
      <c r="M23" s="230"/>
    </row>
    <row r="24" spans="3:13" ht="14.45" customHeight="1">
      <c r="C24" s="471"/>
      <c r="D24" s="473" t="s">
        <v>152</v>
      </c>
      <c r="E24" s="473"/>
      <c r="F24" s="231"/>
      <c r="G24" s="217"/>
      <c r="H24" s="232"/>
      <c r="I24" s="232"/>
      <c r="J24" s="233"/>
      <c r="K24" s="233"/>
      <c r="L24" s="232"/>
      <c r="M24" s="234"/>
    </row>
    <row r="25" spans="3:13" ht="14.45" customHeight="1">
      <c r="C25" s="471"/>
      <c r="D25" s="473" t="s">
        <v>153</v>
      </c>
      <c r="E25" s="473"/>
      <c r="F25" s="231"/>
      <c r="G25" s="235"/>
      <c r="H25" s="232"/>
      <c r="I25" s="232"/>
      <c r="J25" s="233"/>
      <c r="K25" s="233"/>
      <c r="L25" s="232"/>
      <c r="M25" s="234"/>
    </row>
    <row r="26" spans="3:13" ht="14.45" customHeight="1">
      <c r="C26" s="471"/>
      <c r="D26" s="473" t="s">
        <v>154</v>
      </c>
      <c r="E26" s="473"/>
      <c r="F26" s="231"/>
      <c r="G26" s="217"/>
      <c r="H26" s="232"/>
      <c r="I26" s="232"/>
      <c r="J26" s="233"/>
      <c r="K26" s="233"/>
      <c r="L26" s="232"/>
      <c r="M26" s="234"/>
    </row>
    <row r="27" spans="3:13" ht="14.45" customHeight="1">
      <c r="C27" s="471"/>
      <c r="D27" s="473" t="s">
        <v>155</v>
      </c>
      <c r="E27" s="473"/>
      <c r="F27" s="231"/>
      <c r="G27" s="217"/>
      <c r="H27" s="232"/>
      <c r="I27" s="232"/>
      <c r="J27" s="233"/>
      <c r="K27" s="233"/>
      <c r="L27" s="232"/>
      <c r="M27" s="234"/>
    </row>
    <row r="28" spans="3:13" ht="14.45" customHeight="1">
      <c r="C28" s="471"/>
      <c r="D28" s="473" t="s">
        <v>156</v>
      </c>
      <c r="E28" s="473"/>
      <c r="F28" s="220"/>
      <c r="G28" s="217"/>
      <c r="H28" s="232"/>
      <c r="I28" s="232"/>
      <c r="J28" s="233"/>
      <c r="K28" s="233"/>
      <c r="L28" s="232"/>
      <c r="M28" s="234"/>
    </row>
    <row r="29" spans="3:13" ht="14.45" customHeight="1">
      <c r="C29" s="471"/>
      <c r="D29" s="473" t="s">
        <v>157</v>
      </c>
      <c r="E29" s="473"/>
      <c r="F29" s="220"/>
      <c r="G29" s="218"/>
      <c r="H29" s="236"/>
      <c r="I29" s="236"/>
      <c r="J29" s="236"/>
      <c r="K29" s="236"/>
      <c r="L29" s="232"/>
      <c r="M29" s="237"/>
    </row>
    <row r="30" spans="3:13" ht="14.45" customHeight="1">
      <c r="C30" s="471"/>
      <c r="D30" s="473" t="s">
        <v>158</v>
      </c>
      <c r="E30" s="473"/>
      <c r="F30" s="220"/>
      <c r="G30" s="217"/>
      <c r="H30" s="232"/>
      <c r="I30" s="232"/>
      <c r="J30" s="233"/>
      <c r="K30" s="232"/>
      <c r="L30" s="232"/>
      <c r="M30" s="234"/>
    </row>
    <row r="31" spans="3:13" ht="15" customHeight="1" thickBot="1">
      <c r="C31" s="471"/>
      <c r="D31" s="474" t="s">
        <v>159</v>
      </c>
      <c r="E31" s="474"/>
      <c r="F31" s="220"/>
      <c r="G31" s="239"/>
      <c r="H31" s="240"/>
      <c r="I31" s="240"/>
      <c r="J31" s="241"/>
      <c r="K31" s="240"/>
      <c r="L31" s="240"/>
      <c r="M31" s="242"/>
    </row>
    <row r="32" spans="3:13" ht="97.15" customHeight="1">
      <c r="C32" s="466" t="s">
        <v>160</v>
      </c>
      <c r="D32" s="468" t="s">
        <v>161</v>
      </c>
      <c r="E32" s="468"/>
      <c r="F32" s="243"/>
      <c r="G32" s="215"/>
      <c r="H32" s="244"/>
      <c r="I32" s="244"/>
      <c r="J32" s="244"/>
      <c r="K32" s="244"/>
      <c r="L32" s="245"/>
      <c r="M32" s="246"/>
    </row>
    <row r="33" spans="3:13" ht="146.44999999999999" customHeight="1" thickBot="1">
      <c r="C33" s="467"/>
      <c r="D33" s="469" t="s">
        <v>162</v>
      </c>
      <c r="E33" s="469"/>
      <c r="F33" s="247"/>
      <c r="G33" s="225"/>
      <c r="H33" s="248"/>
      <c r="I33" s="248"/>
      <c r="J33" s="248"/>
      <c r="K33" s="248"/>
      <c r="L33" s="249"/>
      <c r="M33" s="250"/>
    </row>
    <row r="35" spans="3:13" ht="21.75" thickBot="1">
      <c r="C35" s="193"/>
      <c r="D35" s="194"/>
      <c r="E35" s="482" t="s">
        <v>134</v>
      </c>
      <c r="F35" s="483"/>
      <c r="G35" s="195">
        <f>SUMPRODUCT(PLC_WB710[N10],Price[N10])</f>
        <v>0</v>
      </c>
      <c r="H35" s="195">
        <f>SUMPRODUCT(PLC_WB710[N100],Price[100])</f>
        <v>0</v>
      </c>
      <c r="I35" s="195">
        <f>SUMPRODUCT(PLC_WB710[N500],Price[500])</f>
        <v>0</v>
      </c>
      <c r="J35" s="195">
        <f>SUMPRODUCT(PLC_WB710[N1000],Price[1000])</f>
        <v>0</v>
      </c>
      <c r="K35" s="195">
        <f>SUMPRODUCT(PLC_WB710[N2500],Price[2500])</f>
        <v>0</v>
      </c>
      <c r="L35" s="195">
        <f>SUMPRODUCT(PLC_WB710[N5000],Price[5000])</f>
        <v>0</v>
      </c>
      <c r="M35" s="195">
        <f>SUMPRODUCT(PLC_WB710[N10000],Price[10000])</f>
        <v>0</v>
      </c>
    </row>
    <row r="36" spans="3:13" ht="15.75" thickBot="1">
      <c r="C36" s="484" t="s">
        <v>135</v>
      </c>
      <c r="D36" s="485"/>
      <c r="E36" s="486"/>
      <c r="F36" s="196" t="s">
        <v>136</v>
      </c>
      <c r="G36" s="197" t="s">
        <v>127</v>
      </c>
      <c r="H36" s="198" t="s">
        <v>128</v>
      </c>
      <c r="I36" s="199" t="s">
        <v>129</v>
      </c>
      <c r="J36" s="199" t="s">
        <v>130</v>
      </c>
      <c r="K36" s="199" t="s">
        <v>131</v>
      </c>
      <c r="L36" s="200" t="s">
        <v>132</v>
      </c>
      <c r="M36" s="200" t="s">
        <v>133</v>
      </c>
    </row>
    <row r="37" spans="3:13" hidden="1">
      <c r="C37" s="475" t="s">
        <v>137</v>
      </c>
      <c r="D37" s="476"/>
      <c r="E37" s="477"/>
      <c r="F37" s="205"/>
      <c r="G37" s="201"/>
      <c r="H37" s="202"/>
      <c r="I37" s="202"/>
      <c r="J37" s="202"/>
      <c r="K37" s="202"/>
      <c r="L37" s="203"/>
      <c r="M37" s="203"/>
    </row>
    <row r="38" spans="3:13" hidden="1">
      <c r="C38" s="204"/>
      <c r="D38" s="478" t="s">
        <v>138</v>
      </c>
      <c r="E38" s="479"/>
      <c r="F38" s="205"/>
      <c r="G38" s="201"/>
      <c r="H38" s="202"/>
      <c r="I38" s="202"/>
      <c r="J38" s="202"/>
      <c r="K38" s="202"/>
      <c r="L38" s="203"/>
      <c r="M38" s="203"/>
    </row>
    <row r="39" spans="3:13" ht="15.75" hidden="1" thickBot="1">
      <c r="C39" s="204"/>
      <c r="D39" s="478" t="s">
        <v>139</v>
      </c>
      <c r="E39" s="479"/>
      <c r="F39" s="205"/>
      <c r="G39" s="201"/>
      <c r="H39" s="202"/>
      <c r="I39" s="202"/>
      <c r="J39" s="202"/>
      <c r="K39" s="202"/>
      <c r="L39" s="203"/>
      <c r="M39" s="203"/>
    </row>
    <row r="40" spans="3:13" ht="45.75" hidden="1" thickBot="1">
      <c r="C40" s="206"/>
      <c r="D40" s="207"/>
      <c r="E40" s="208" t="s">
        <v>140</v>
      </c>
      <c r="F40" s="180" t="s">
        <v>141</v>
      </c>
      <c r="G40" s="209"/>
      <c r="H40" s="209"/>
      <c r="I40" s="209"/>
      <c r="J40" s="209"/>
      <c r="K40" s="209"/>
      <c r="L40" s="209"/>
      <c r="M40" s="210"/>
    </row>
    <row r="41" spans="3:13" ht="90">
      <c r="C41" s="466" t="s">
        <v>142</v>
      </c>
      <c r="D41" s="481" t="s">
        <v>143</v>
      </c>
      <c r="E41" s="481"/>
      <c r="F41" s="211" t="s">
        <v>175</v>
      </c>
      <c r="G41" s="212"/>
      <c r="H41" s="213"/>
      <c r="I41" s="214"/>
      <c r="J41" s="214"/>
      <c r="K41" s="214"/>
      <c r="L41" s="215"/>
      <c r="M41" s="216"/>
    </row>
    <row r="42" spans="3:13" hidden="1">
      <c r="C42" s="480"/>
      <c r="D42" s="481" t="s">
        <v>145</v>
      </c>
      <c r="E42" s="481"/>
      <c r="F42" s="180" t="s">
        <v>141</v>
      </c>
      <c r="G42" s="217"/>
      <c r="H42" s="218"/>
      <c r="I42" s="217"/>
      <c r="J42" s="217"/>
      <c r="K42" s="217"/>
      <c r="L42" s="217"/>
      <c r="M42" s="219"/>
    </row>
    <row r="43" spans="3:13" ht="75" hidden="1">
      <c r="C43" s="480"/>
      <c r="D43" s="473" t="s">
        <v>146</v>
      </c>
      <c r="E43" s="473"/>
      <c r="F43" s="221" t="s">
        <v>147</v>
      </c>
      <c r="G43" s="217"/>
      <c r="H43" s="217"/>
      <c r="I43" s="217"/>
      <c r="J43" s="217"/>
      <c r="K43" s="217"/>
      <c r="L43" s="217"/>
      <c r="M43" s="219"/>
    </row>
    <row r="44" spans="3:13" hidden="1">
      <c r="C44" s="480"/>
      <c r="D44" s="473" t="s">
        <v>148</v>
      </c>
      <c r="E44" s="473"/>
      <c r="F44" s="222" t="s">
        <v>149</v>
      </c>
      <c r="G44" s="218"/>
      <c r="H44" s="218"/>
      <c r="I44" s="218"/>
      <c r="J44" s="218"/>
      <c r="K44" s="218"/>
      <c r="L44" s="218"/>
      <c r="M44" s="223"/>
    </row>
    <row r="45" spans="3:13" ht="15.75" hidden="1" thickBot="1">
      <c r="C45" s="467"/>
      <c r="D45" s="474"/>
      <c r="E45" s="474"/>
      <c r="F45" s="224"/>
      <c r="G45" s="225"/>
      <c r="H45" s="225"/>
      <c r="I45" s="225"/>
      <c r="J45" s="225"/>
      <c r="K45" s="225"/>
      <c r="L45" s="225"/>
      <c r="M45" s="226"/>
    </row>
    <row r="46" spans="3:13" hidden="1">
      <c r="C46" s="470" t="s">
        <v>150</v>
      </c>
      <c r="D46" s="472" t="s">
        <v>151</v>
      </c>
      <c r="E46" s="472"/>
      <c r="F46" s="227"/>
      <c r="G46" s="215"/>
      <c r="H46" s="228"/>
      <c r="I46" s="228"/>
      <c r="J46" s="229"/>
      <c r="K46" s="229"/>
      <c r="L46" s="228"/>
      <c r="M46" s="230"/>
    </row>
    <row r="47" spans="3:13" hidden="1">
      <c r="C47" s="471"/>
      <c r="D47" s="473" t="s">
        <v>152</v>
      </c>
      <c r="E47" s="473"/>
      <c r="F47" s="231"/>
      <c r="G47" s="217"/>
      <c r="H47" s="232"/>
      <c r="I47" s="232"/>
      <c r="J47" s="233"/>
      <c r="K47" s="233"/>
      <c r="L47" s="232"/>
      <c r="M47" s="234"/>
    </row>
    <row r="48" spans="3:13" hidden="1">
      <c r="C48" s="471"/>
      <c r="D48" s="473" t="s">
        <v>153</v>
      </c>
      <c r="E48" s="473"/>
      <c r="F48" s="231"/>
      <c r="G48" s="235"/>
      <c r="H48" s="232"/>
      <c r="I48" s="232"/>
      <c r="J48" s="233"/>
      <c r="K48" s="233"/>
      <c r="L48" s="232"/>
      <c r="M48" s="234"/>
    </row>
    <row r="49" spans="3:13" hidden="1">
      <c r="C49" s="471"/>
      <c r="D49" s="473" t="s">
        <v>154</v>
      </c>
      <c r="E49" s="473"/>
      <c r="F49" s="231"/>
      <c r="G49" s="217"/>
      <c r="H49" s="232"/>
      <c r="I49" s="232"/>
      <c r="J49" s="233"/>
      <c r="K49" s="233"/>
      <c r="L49" s="232"/>
      <c r="M49" s="234"/>
    </row>
    <row r="50" spans="3:13" hidden="1">
      <c r="C50" s="471"/>
      <c r="D50" s="473" t="s">
        <v>155</v>
      </c>
      <c r="E50" s="473"/>
      <c r="F50" s="231"/>
      <c r="G50" s="217"/>
      <c r="H50" s="232"/>
      <c r="I50" s="232"/>
      <c r="J50" s="233"/>
      <c r="K50" s="233"/>
      <c r="L50" s="232"/>
      <c r="M50" s="234"/>
    </row>
    <row r="51" spans="3:13" hidden="1">
      <c r="C51" s="471"/>
      <c r="D51" s="473" t="s">
        <v>156</v>
      </c>
      <c r="E51" s="473"/>
      <c r="F51" s="231"/>
      <c r="G51" s="217"/>
      <c r="H51" s="232"/>
      <c r="I51" s="232"/>
      <c r="J51" s="233"/>
      <c r="K51" s="233"/>
      <c r="L51" s="232"/>
      <c r="M51" s="234"/>
    </row>
    <row r="52" spans="3:13" hidden="1">
      <c r="C52" s="471"/>
      <c r="D52" s="473" t="s">
        <v>157</v>
      </c>
      <c r="E52" s="473"/>
      <c r="F52" s="231"/>
      <c r="G52" s="218"/>
      <c r="H52" s="236"/>
      <c r="I52" s="236"/>
      <c r="J52" s="236"/>
      <c r="K52" s="236"/>
      <c r="L52" s="232"/>
      <c r="M52" s="237"/>
    </row>
    <row r="53" spans="3:13" hidden="1">
      <c r="C53" s="471"/>
      <c r="D53" s="473" t="s">
        <v>158</v>
      </c>
      <c r="E53" s="473"/>
      <c r="F53" s="231"/>
      <c r="G53" s="217"/>
      <c r="H53" s="232"/>
      <c r="I53" s="232"/>
      <c r="J53" s="233"/>
      <c r="K53" s="232"/>
      <c r="L53" s="232"/>
      <c r="M53" s="234"/>
    </row>
    <row r="54" spans="3:13" ht="15.75" hidden="1" thickBot="1">
      <c r="C54" s="471"/>
      <c r="D54" s="474" t="s">
        <v>159</v>
      </c>
      <c r="E54" s="474"/>
      <c r="F54" s="238"/>
      <c r="G54" s="239"/>
      <c r="H54" s="240"/>
      <c r="I54" s="240"/>
      <c r="J54" s="241"/>
      <c r="K54" s="240"/>
      <c r="L54" s="240"/>
      <c r="M54" s="242"/>
    </row>
    <row r="55" spans="3:13" hidden="1">
      <c r="C55" s="466" t="s">
        <v>160</v>
      </c>
      <c r="D55" s="468" t="s">
        <v>161</v>
      </c>
      <c r="E55" s="468"/>
      <c r="F55" s="243"/>
      <c r="G55" s="215"/>
      <c r="H55" s="244"/>
      <c r="I55" s="244"/>
      <c r="J55" s="244"/>
      <c r="K55" s="244"/>
      <c r="L55" s="245"/>
      <c r="M55" s="246"/>
    </row>
    <row r="56" spans="3:13" ht="15.75" hidden="1" thickBot="1">
      <c r="C56" s="467"/>
      <c r="D56" s="469" t="s">
        <v>162</v>
      </c>
      <c r="E56" s="469"/>
      <c r="F56" s="247"/>
      <c r="G56" s="225"/>
      <c r="H56" s="248"/>
      <c r="I56" s="248"/>
      <c r="J56" s="248"/>
      <c r="K56" s="248"/>
      <c r="L56" s="249"/>
      <c r="M56" s="250"/>
    </row>
    <row r="58" spans="3:13">
      <c r="J58" s="191"/>
    </row>
  </sheetData>
  <mergeCells count="51">
    <mergeCell ref="C32:C33"/>
    <mergeCell ref="D32:E32"/>
    <mergeCell ref="D33:E33"/>
    <mergeCell ref="C23:C31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E35:F35"/>
    <mergeCell ref="C36:E36"/>
    <mergeCell ref="C14:E14"/>
    <mergeCell ref="E1:M1"/>
    <mergeCell ref="E2:J2"/>
    <mergeCell ref="D4:D10"/>
    <mergeCell ref="E12:F12"/>
    <mergeCell ref="C13:E13"/>
    <mergeCell ref="D15:E15"/>
    <mergeCell ref="D16:E16"/>
    <mergeCell ref="C18:C22"/>
    <mergeCell ref="D18:E18"/>
    <mergeCell ref="D19:E19"/>
    <mergeCell ref="D20:E20"/>
    <mergeCell ref="D21:E21"/>
    <mergeCell ref="D22:E22"/>
    <mergeCell ref="C37:E37"/>
    <mergeCell ref="D38:E38"/>
    <mergeCell ref="D39:E39"/>
    <mergeCell ref="C41:C45"/>
    <mergeCell ref="D41:E41"/>
    <mergeCell ref="D42:E42"/>
    <mergeCell ref="D43:E43"/>
    <mergeCell ref="D44:E44"/>
    <mergeCell ref="D45:E45"/>
    <mergeCell ref="C55:C56"/>
    <mergeCell ref="D55:E55"/>
    <mergeCell ref="D56:E56"/>
    <mergeCell ref="C46:C54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</mergeCells>
  <pageMargins left="0.7" right="0.7" top="0.75" bottom="0.75" header="0.3" footer="0.3"/>
  <pageSetup paperSize="9" scale="4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16FA2-8BA2-49F9-903F-A8F87BDCA5C6}">
  <sheetPr codeName="Лист14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/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1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1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1" si="9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2"/>
      <c r="D22" s="102"/>
      <c r="E22" s="101"/>
      <c r="F22" s="270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2"/>
      <c r="D23" s="102"/>
      <c r="E23" s="101"/>
      <c r="F23" s="270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2"/>
      <c r="D24" s="102"/>
      <c r="E24" s="101"/>
      <c r="F24" s="270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2"/>
      <c r="D25" s="102"/>
      <c r="E25" s="101"/>
      <c r="F25" s="270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2"/>
      <c r="D26" s="102"/>
      <c r="E26" s="101"/>
      <c r="F26" s="270" t="s">
        <v>60</v>
      </c>
      <c r="G26" s="99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ref="H32" si="11">ROUND($N32/(1-M32),2)</f>
        <v>0</v>
      </c>
      <c r="I32" s="311">
        <f t="shared" ref="I32" si="12">G32*H32</f>
        <v>0</v>
      </c>
      <c r="J32" s="416">
        <f>'Наценки-Скидки'!$I$5</f>
        <v>0</v>
      </c>
      <c r="K32" s="311">
        <f t="shared" ref="K32" si="13">IFERROR(I32*(1-J32),"")</f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ref="H33" si="14">ROUND($N33/(1-M33),2)</f>
        <v>0</v>
      </c>
      <c r="I33" s="311">
        <f t="shared" ref="I33" si="15">G33*H33</f>
        <v>0</v>
      </c>
      <c r="J33" s="416">
        <f>'Наценки-Скидки'!$I$5</f>
        <v>0</v>
      </c>
      <c r="K33" s="311">
        <f t="shared" ref="K33" si="16">IFERROR(I33*(1-J33),"")</f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ref="H34" si="17">ROUND($N34/(1-M34),2)</f>
        <v>0</v>
      </c>
      <c r="I34" s="311">
        <f t="shared" ref="I34" si="18">G34*H34</f>
        <v>0</v>
      </c>
      <c r="J34" s="416">
        <f>'Наценки-Скидки'!$I$5</f>
        <v>0</v>
      </c>
      <c r="K34" s="311">
        <f t="shared" ref="K34" si="19">IFERROR(I34*(1-J34),"")</f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ref="H35" si="20">ROUND($N35/(1-M35),2)</f>
        <v>0</v>
      </c>
      <c r="I35" s="311">
        <f t="shared" ref="I35" si="21">G35*H35</f>
        <v>0</v>
      </c>
      <c r="J35" s="416">
        <f>'Наценки-Скидки'!$I$5</f>
        <v>0</v>
      </c>
      <c r="K35" s="311">
        <f t="shared" ref="K35" si="22">IFERROR(I35*(1-J35),"")</f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ref="H36" si="23">ROUND($N36/(1-M36),2)</f>
        <v>0</v>
      </c>
      <c r="I36" s="311">
        <f t="shared" ref="I36" si="24">G36*H36</f>
        <v>0</v>
      </c>
      <c r="J36" s="416">
        <f>'Наценки-Скидки'!$I$5</f>
        <v>0</v>
      </c>
      <c r="K36" s="311">
        <f t="shared" ref="K36" si="25">IFERROR(I36*(1-J36),"")</f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ref="H37" si="26">ROUND($N37/(1-M37),2)</f>
        <v>0</v>
      </c>
      <c r="I37" s="311">
        <f t="shared" ref="I37" si="27">G37*H37</f>
        <v>0</v>
      </c>
      <c r="J37" s="416">
        <f>'Наценки-Скидки'!$I$5</f>
        <v>0</v>
      </c>
      <c r="K37" s="311">
        <f t="shared" ref="K37" si="28">IFERROR(I37*(1-J37),"")</f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/>
      <c r="E38" s="94" t="s">
        <v>198</v>
      </c>
      <c r="F38" s="270" t="s">
        <v>60</v>
      </c>
      <c r="G38" s="95"/>
      <c r="H38" s="311">
        <f t="shared" ref="H38" si="29">ROUND($N38/(1-M38),2)</f>
        <v>0</v>
      </c>
      <c r="I38" s="311">
        <f t="shared" ref="I38" si="30">G38*H38</f>
        <v>0</v>
      </c>
      <c r="J38" s="416">
        <f>'Наценки-Скидки'!$I$5</f>
        <v>0</v>
      </c>
      <c r="K38" s="311">
        <f t="shared" ref="K38" si="31">IFERROR(I38*(1-J38),"")</f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ref="H39" si="32">ROUND($N39/(1-M39),2)</f>
        <v>0</v>
      </c>
      <c r="I39" s="311">
        <f t="shared" ref="I39" si="33">G39*H39</f>
        <v>0</v>
      </c>
      <c r="J39" s="416">
        <f>'Наценки-Скидки'!$I$5</f>
        <v>0</v>
      </c>
      <c r="K39" s="311">
        <f t="shared" ref="K39" si="34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35">ROUND($N40/(1-M40),2)</f>
        <v>0</v>
      </c>
      <c r="I40" s="311">
        <f t="shared" ref="I40" si="36">G40*H40</f>
        <v>0</v>
      </c>
      <c r="J40" s="416">
        <f>'Наценки-Скидки'!$I$5</f>
        <v>0</v>
      </c>
      <c r="K40" s="311">
        <f t="shared" ref="K40" si="37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38">ROUND($N41/(1-M41),2)</f>
        <v>0</v>
      </c>
      <c r="I41" s="311">
        <f t="shared" ref="I41" si="39">G41*H41</f>
        <v>0</v>
      </c>
      <c r="J41" s="416">
        <f>'Наценки-Скидки'!$I$5</f>
        <v>0</v>
      </c>
      <c r="K41" s="311">
        <f t="shared" ref="K41" si="40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41">ROUND($N42/(1-M42),2)</f>
        <v>0</v>
      </c>
      <c r="I42" s="311">
        <f t="shared" ref="I42" si="42">G42*H42</f>
        <v>0</v>
      </c>
      <c r="J42" s="416">
        <f>'Наценки-Скидки'!$I$5</f>
        <v>0</v>
      </c>
      <c r="K42" s="311">
        <f t="shared" ref="K42" si="43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44">ROUND($N43/(1-M43),2)</f>
        <v>0</v>
      </c>
      <c r="I43" s="311">
        <f t="shared" ref="I43" si="45">G43*H43</f>
        <v>0</v>
      </c>
      <c r="J43" s="416">
        <f>'Наценки-Скидки'!$I$5</f>
        <v>0</v>
      </c>
      <c r="K43" s="311">
        <f t="shared" ref="K43" si="46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47">ROUND($N44/(1-M44),2)</f>
        <v>0</v>
      </c>
      <c r="I44" s="311">
        <f t="shared" ref="I44" si="48">G44*H44</f>
        <v>0</v>
      </c>
      <c r="J44" s="416">
        <f>'Наценки-Скидки'!$I$5</f>
        <v>0</v>
      </c>
      <c r="K44" s="311">
        <f t="shared" ref="K44" si="49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50">ROUND($N45/(1-M45),2)</f>
        <v>0</v>
      </c>
      <c r="I45" s="311">
        <f t="shared" ref="I45" si="51">G45*H45</f>
        <v>0</v>
      </c>
      <c r="J45" s="416">
        <f>'Наценки-Скидки'!$I$5</f>
        <v>0</v>
      </c>
      <c r="K45" s="311">
        <f t="shared" ref="K45" si="52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53">ROUND($N46/(1-M46),2)</f>
        <v>0</v>
      </c>
      <c r="I46" s="311">
        <f t="shared" ref="I46" si="54">G46*H46</f>
        <v>0</v>
      </c>
      <c r="J46" s="416">
        <f>'Наценки-Скидки'!$I$5</f>
        <v>0</v>
      </c>
      <c r="K46" s="311">
        <f t="shared" ref="K46" si="55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56">ROUND($N47/(1-M47),2)</f>
        <v>0</v>
      </c>
      <c r="I47" s="311">
        <f t="shared" ref="I47" si="57">G47*H47</f>
        <v>0</v>
      </c>
      <c r="J47" s="416">
        <f>'Наценки-Скидки'!$I$5</f>
        <v>0</v>
      </c>
      <c r="K47" s="311">
        <f t="shared" ref="K47" si="58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8" customHeight="1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0:H10"/>
    <mergeCell ref="C55:G55"/>
    <mergeCell ref="C56:G56"/>
    <mergeCell ref="B12:I12"/>
    <mergeCell ref="B16:H16"/>
    <mergeCell ref="B18:I18"/>
    <mergeCell ref="B48:H48"/>
    <mergeCell ref="C50:G50"/>
    <mergeCell ref="C51:G51"/>
    <mergeCell ref="C52:G52"/>
    <mergeCell ref="C53:G53"/>
    <mergeCell ref="C54:G54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1BCC0-0F86-4439-B228-0957998633A0}">
  <sheetPr codeName="Лист15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3.5703125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/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/>
      <c r="D19" s="27"/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2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2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2" si="9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2"/>
      <c r="D22" s="102"/>
      <c r="E22" s="101"/>
      <c r="F22" s="270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2"/>
      <c r="D23" s="102"/>
      <c r="E23" s="101"/>
      <c r="F23" s="270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2"/>
      <c r="D24" s="102"/>
      <c r="E24" s="101"/>
      <c r="F24" s="270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2"/>
      <c r="D25" s="102"/>
      <c r="E25" s="101"/>
      <c r="F25" s="270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2"/>
      <c r="D26" s="102"/>
      <c r="E26" s="101"/>
      <c r="F26" s="270" t="s">
        <v>60</v>
      </c>
      <c r="G26" s="99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8"/>
        <v>0</v>
      </c>
      <c r="I32" s="311">
        <f t="shared" si="6"/>
        <v>0</v>
      </c>
      <c r="J32" s="416">
        <f>'Наценки-Скидки'!$I$5</f>
        <v>0</v>
      </c>
      <c r="K32" s="311">
        <f t="shared" si="9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ref="H33" si="11">ROUND($N33/(1-M33),2)</f>
        <v>0</v>
      </c>
      <c r="I33" s="311">
        <f t="shared" ref="I33" si="12">G33*H33</f>
        <v>0</v>
      </c>
      <c r="J33" s="416">
        <f>'Наценки-Скидки'!$I$5</f>
        <v>0</v>
      </c>
      <c r="K33" s="311">
        <f t="shared" ref="K33" si="13">IFERROR(I33*(1-J33),"")</f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ref="H34" si="14">ROUND($N34/(1-M34),2)</f>
        <v>0</v>
      </c>
      <c r="I34" s="311">
        <f t="shared" ref="I34" si="15">G34*H34</f>
        <v>0</v>
      </c>
      <c r="J34" s="416">
        <f>'Наценки-Скидки'!$I$5</f>
        <v>0</v>
      </c>
      <c r="K34" s="311">
        <f t="shared" ref="K34" si="16">IFERROR(I34*(1-J34),"")</f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ref="H35" si="17">ROUND($N35/(1-M35),2)</f>
        <v>0</v>
      </c>
      <c r="I35" s="311">
        <f t="shared" ref="I35" si="18">G35*H35</f>
        <v>0</v>
      </c>
      <c r="J35" s="416">
        <f>'Наценки-Скидки'!$I$5</f>
        <v>0</v>
      </c>
      <c r="K35" s="311">
        <f t="shared" ref="K35" si="19">IFERROR(I35*(1-J35),"")</f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ref="H36" si="20">ROUND($N36/(1-M36),2)</f>
        <v>0</v>
      </c>
      <c r="I36" s="311">
        <f t="shared" ref="I36" si="21">G36*H36</f>
        <v>0</v>
      </c>
      <c r="J36" s="416">
        <f>'Наценки-Скидки'!$I$5</f>
        <v>0</v>
      </c>
      <c r="K36" s="311">
        <f t="shared" ref="K36" si="22">IFERROR(I36*(1-J36),"")</f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ref="H37" si="23">ROUND($N37/(1-M37),2)</f>
        <v>0</v>
      </c>
      <c r="I37" s="311">
        <f t="shared" ref="I37" si="24">G37*H37</f>
        <v>0</v>
      </c>
      <c r="J37" s="416">
        <f>'Наценки-Скидки'!$I$5</f>
        <v>0</v>
      </c>
      <c r="K37" s="311">
        <f t="shared" ref="K37" si="25">IFERROR(I37*(1-J37),"")</f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/>
      <c r="E38" s="94" t="s">
        <v>198</v>
      </c>
      <c r="F38" s="270" t="s">
        <v>60</v>
      </c>
      <c r="G38" s="95"/>
      <c r="H38" s="311">
        <f t="shared" ref="H38" si="26">ROUND($N38/(1-M38),2)</f>
        <v>0</v>
      </c>
      <c r="I38" s="311">
        <f t="shared" ref="I38" si="27">G38*H38</f>
        <v>0</v>
      </c>
      <c r="J38" s="416">
        <f>'Наценки-Скидки'!$I$5</f>
        <v>0</v>
      </c>
      <c r="K38" s="311">
        <f t="shared" ref="K38" si="28">IFERROR(I38*(1-J38),"")</f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ref="H39" si="29">ROUND($N39/(1-M39),2)</f>
        <v>0</v>
      </c>
      <c r="I39" s="311">
        <f t="shared" ref="I39" si="30">G39*H39</f>
        <v>0</v>
      </c>
      <c r="J39" s="416">
        <f>'Наценки-Скидки'!$I$5</f>
        <v>0</v>
      </c>
      <c r="K39" s="311">
        <f t="shared" ref="K39" si="31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32">ROUND($N40/(1-M40),2)</f>
        <v>0</v>
      </c>
      <c r="I40" s="311">
        <f t="shared" ref="I40" si="33">G40*H40</f>
        <v>0</v>
      </c>
      <c r="J40" s="416">
        <f>'Наценки-Скидки'!$I$5</f>
        <v>0</v>
      </c>
      <c r="K40" s="311">
        <f t="shared" ref="K40" si="34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35">ROUND($N41/(1-M41),2)</f>
        <v>0</v>
      </c>
      <c r="I41" s="311">
        <f t="shared" ref="I41" si="36">G41*H41</f>
        <v>0</v>
      </c>
      <c r="J41" s="416">
        <f>'Наценки-Скидки'!$I$5</f>
        <v>0</v>
      </c>
      <c r="K41" s="311">
        <f t="shared" ref="K41" si="37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38">ROUND($N42/(1-M42),2)</f>
        <v>0</v>
      </c>
      <c r="I42" s="311">
        <f t="shared" ref="I42" si="39">G42*H42</f>
        <v>0</v>
      </c>
      <c r="J42" s="416">
        <f>'Наценки-Скидки'!$I$5</f>
        <v>0</v>
      </c>
      <c r="K42" s="311">
        <f t="shared" ref="K42" si="40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41">ROUND($N43/(1-M43),2)</f>
        <v>0</v>
      </c>
      <c r="I43" s="311">
        <f t="shared" ref="I43" si="42">G43*H43</f>
        <v>0</v>
      </c>
      <c r="J43" s="416">
        <f>'Наценки-Скидки'!$I$5</f>
        <v>0</v>
      </c>
      <c r="K43" s="311">
        <f t="shared" ref="K43" si="43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44">ROUND($N44/(1-M44),2)</f>
        <v>0</v>
      </c>
      <c r="I44" s="311">
        <f t="shared" ref="I44" si="45">G44*H44</f>
        <v>0</v>
      </c>
      <c r="J44" s="416">
        <f>'Наценки-Скидки'!$I$5</f>
        <v>0</v>
      </c>
      <c r="K44" s="311">
        <f t="shared" ref="K44" si="46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47">ROUND($N45/(1-M45),2)</f>
        <v>0</v>
      </c>
      <c r="I45" s="311">
        <f t="shared" ref="I45" si="48">G45*H45</f>
        <v>0</v>
      </c>
      <c r="J45" s="416">
        <f>'Наценки-Скидки'!$I$5</f>
        <v>0</v>
      </c>
      <c r="K45" s="311">
        <f t="shared" ref="K45" si="49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50">ROUND($N46/(1-M46),2)</f>
        <v>0</v>
      </c>
      <c r="I46" s="311">
        <f t="shared" ref="I46" si="51">G46*H46</f>
        <v>0</v>
      </c>
      <c r="J46" s="416">
        <f>'Наценки-Скидки'!$I$5</f>
        <v>0</v>
      </c>
      <c r="K46" s="311">
        <f t="shared" ref="K46" si="52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53">ROUND($N47/(1-M47),2)</f>
        <v>0</v>
      </c>
      <c r="I47" s="311">
        <f t="shared" ref="I47" si="54">G47*H47</f>
        <v>0</v>
      </c>
      <c r="J47" s="416">
        <f>'Наценки-Скидки'!$I$5</f>
        <v>0</v>
      </c>
      <c r="K47" s="311">
        <f t="shared" ref="K47" si="55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B10:H10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C0B13-7FC6-40E6-97BF-D29482133E8F}">
  <sheetPr codeName="Лист29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/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1"/>
      <c r="D20" s="93"/>
      <c r="E20" s="100"/>
      <c r="F20" s="95" t="s">
        <v>60</v>
      </c>
      <c r="G20" s="95"/>
      <c r="H20" s="311">
        <f>ROUND($N20/(1-M20),2)</f>
        <v>0</v>
      </c>
      <c r="I20" s="311">
        <f t="shared" ref="I20:I38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85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1"/>
      <c r="D21" s="102"/>
      <c r="E21" s="101"/>
      <c r="F21" s="95" t="s">
        <v>60</v>
      </c>
      <c r="G21" s="99"/>
      <c r="H21" s="311">
        <f t="shared" ref="H21:H38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8" si="9">IFERROR(I21*(1-J21),"")</f>
        <v>0</v>
      </c>
      <c r="M21" s="408">
        <f>'Наценки-Скидки'!$F$3+'Наценки-Скидки'!$F$4+'Наценки-Скидки'!$F$5</f>
        <v>0.35</v>
      </c>
      <c r="N21" s="386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1"/>
      <c r="D22" s="102"/>
      <c r="E22" s="101"/>
      <c r="F22" s="95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86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1"/>
      <c r="D23" s="102"/>
      <c r="E23" s="101"/>
      <c r="F23" s="95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86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1"/>
      <c r="D24" s="102"/>
      <c r="E24" s="101"/>
      <c r="F24" s="95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86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1"/>
      <c r="D25" s="102"/>
      <c r="E25" s="101"/>
      <c r="F25" s="95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86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1"/>
      <c r="D26" s="102"/>
      <c r="E26" s="101"/>
      <c r="F26" s="95" t="s">
        <v>60</v>
      </c>
      <c r="G26" s="99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86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1"/>
      <c r="D27" s="102"/>
      <c r="E27" s="101"/>
      <c r="F27" s="95" t="s">
        <v>60</v>
      </c>
      <c r="G27" s="99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86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8"/>
        <v>0</v>
      </c>
      <c r="I32" s="311">
        <f t="shared" si="6"/>
        <v>0</v>
      </c>
      <c r="J32" s="416">
        <f>'Наценки-Скидки'!$I$5</f>
        <v>0</v>
      </c>
      <c r="K32" s="311">
        <f t="shared" si="9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8"/>
        <v>0</v>
      </c>
      <c r="I33" s="311">
        <f t="shared" si="6"/>
        <v>0</v>
      </c>
      <c r="J33" s="416">
        <f>'Наценки-Скидки'!$I$5</f>
        <v>0</v>
      </c>
      <c r="K33" s="311">
        <f t="shared" si="9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8"/>
        <v>0</v>
      </c>
      <c r="I34" s="311">
        <f t="shared" si="6"/>
        <v>0</v>
      </c>
      <c r="J34" s="416">
        <f>'Наценки-Скидки'!$I$5</f>
        <v>0</v>
      </c>
      <c r="K34" s="311">
        <f t="shared" si="9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8"/>
        <v>0</v>
      </c>
      <c r="I35" s="311">
        <f t="shared" si="6"/>
        <v>0</v>
      </c>
      <c r="J35" s="416">
        <f>'Наценки-Скидки'!$I$5</f>
        <v>0</v>
      </c>
      <c r="K35" s="311">
        <f t="shared" si="9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8"/>
        <v>0</v>
      </c>
      <c r="I36" s="311">
        <f t="shared" si="6"/>
        <v>0</v>
      </c>
      <c r="J36" s="416">
        <f>'Наценки-Скидки'!$I$5</f>
        <v>0</v>
      </c>
      <c r="K36" s="311">
        <f t="shared" si="9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8"/>
        <v>0</v>
      </c>
      <c r="I37" s="311">
        <f t="shared" si="6"/>
        <v>0</v>
      </c>
      <c r="J37" s="416">
        <f>'Наценки-Скидки'!$I$5</f>
        <v>0</v>
      </c>
      <c r="K37" s="311">
        <f t="shared" si="9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8"/>
        <v>0</v>
      </c>
      <c r="I38" s="311">
        <f t="shared" si="6"/>
        <v>0</v>
      </c>
      <c r="J38" s="416">
        <f>'Наценки-Скидки'!$I$5</f>
        <v>0</v>
      </c>
      <c r="K38" s="311">
        <f t="shared" si="9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1">ROUND($N39/(1-M39),2)</f>
        <v>0</v>
      </c>
      <c r="I39" s="311">
        <f t="shared" ref="I39" si="12">G39*H39</f>
        <v>0</v>
      </c>
      <c r="J39" s="416">
        <f>'Наценки-Скидки'!$I$5</f>
        <v>0</v>
      </c>
      <c r="K39" s="311">
        <f t="shared" ref="K39" si="13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4">ROUND($N40/(1-M40),2)</f>
        <v>0</v>
      </c>
      <c r="I40" s="311">
        <f t="shared" ref="I40" si="15">G40*H40</f>
        <v>0</v>
      </c>
      <c r="J40" s="416">
        <f>'Наценки-Скидки'!$I$5</f>
        <v>0</v>
      </c>
      <c r="K40" s="311">
        <f t="shared" ref="K40" si="16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7">ROUND($N41/(1-M41),2)</f>
        <v>0</v>
      </c>
      <c r="I41" s="311">
        <f t="shared" ref="I41" si="18">G41*H41</f>
        <v>0</v>
      </c>
      <c r="J41" s="416">
        <f>'Наценки-Скидки'!$I$5</f>
        <v>0</v>
      </c>
      <c r="K41" s="311">
        <f t="shared" ref="K41" si="19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0">ROUND($N42/(1-M42),2)</f>
        <v>0</v>
      </c>
      <c r="I42" s="311">
        <f t="shared" ref="I42" si="21">G42*H42</f>
        <v>0</v>
      </c>
      <c r="J42" s="416">
        <f>'Наценки-Скидки'!$I$5</f>
        <v>0</v>
      </c>
      <c r="K42" s="311">
        <f t="shared" ref="K42" si="22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3">ROUND($N43/(1-M43),2)</f>
        <v>0</v>
      </c>
      <c r="I43" s="311">
        <f t="shared" ref="I43" si="24">G43*H43</f>
        <v>0</v>
      </c>
      <c r="J43" s="416">
        <f>'Наценки-Скидки'!$I$5</f>
        <v>0</v>
      </c>
      <c r="K43" s="311">
        <f t="shared" ref="K43" si="25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6">ROUND($N44/(1-M44),2)</f>
        <v>0</v>
      </c>
      <c r="I44" s="311">
        <f t="shared" ref="I44" si="27">G44*H44</f>
        <v>0</v>
      </c>
      <c r="J44" s="416">
        <f>'Наценки-Скидки'!$I$5</f>
        <v>0</v>
      </c>
      <c r="K44" s="311">
        <f t="shared" ref="K44" si="28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9">ROUND($N45/(1-M45),2)</f>
        <v>0</v>
      </c>
      <c r="I45" s="311">
        <f t="shared" ref="I45" si="30">G45*H45</f>
        <v>0</v>
      </c>
      <c r="J45" s="416">
        <f>'Наценки-Скидки'!$I$5</f>
        <v>0</v>
      </c>
      <c r="K45" s="311">
        <f t="shared" ref="K45" si="31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2">ROUND($N46/(1-M46),2)</f>
        <v>0</v>
      </c>
      <c r="I46" s="311">
        <f t="shared" ref="I46" si="33">G46*H46</f>
        <v>0</v>
      </c>
      <c r="J46" s="416">
        <f>'Наценки-Скидки'!$I$5</f>
        <v>0</v>
      </c>
      <c r="K46" s="311">
        <f t="shared" ref="K46" si="34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5">ROUND($N47/(1-M47),2)</f>
        <v>0</v>
      </c>
      <c r="I47" s="311">
        <f t="shared" ref="I47" si="36">G47*H47</f>
        <v>0</v>
      </c>
      <c r="J47" s="416">
        <f>'Наценки-Скидки'!$I$5</f>
        <v>0</v>
      </c>
      <c r="K47" s="311">
        <f t="shared" ref="K47" si="37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I48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DD7A7-D18F-484F-8D80-83DE1D1F98C3}">
  <sheetPr codeName="Лист30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8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8" si="9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2"/>
      <c r="D22" s="102"/>
      <c r="E22" s="101"/>
      <c r="F22" s="270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2"/>
      <c r="D23" s="102"/>
      <c r="E23" s="101"/>
      <c r="F23" s="270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2"/>
      <c r="D24" s="102"/>
      <c r="E24" s="101"/>
      <c r="F24" s="270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2"/>
      <c r="D25" s="102"/>
      <c r="E25" s="101"/>
      <c r="F25" s="270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2"/>
      <c r="D26" s="102"/>
      <c r="E26" s="101"/>
      <c r="F26" s="270" t="s">
        <v>60</v>
      </c>
      <c r="G26" s="99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8"/>
        <v>0</v>
      </c>
      <c r="I32" s="311">
        <f t="shared" si="6"/>
        <v>0</v>
      </c>
      <c r="J32" s="416">
        <f>'Наценки-Скидки'!$I$5</f>
        <v>0</v>
      </c>
      <c r="K32" s="311">
        <f t="shared" si="9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8"/>
        <v>0</v>
      </c>
      <c r="I33" s="311">
        <f t="shared" si="6"/>
        <v>0</v>
      </c>
      <c r="J33" s="416">
        <f>'Наценки-Скидки'!$I$5</f>
        <v>0</v>
      </c>
      <c r="K33" s="311">
        <f t="shared" si="9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8"/>
        <v>0</v>
      </c>
      <c r="I34" s="311">
        <f t="shared" si="6"/>
        <v>0</v>
      </c>
      <c r="J34" s="416">
        <f>'Наценки-Скидки'!$I$5</f>
        <v>0</v>
      </c>
      <c r="K34" s="311">
        <f t="shared" si="9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8"/>
        <v>0</v>
      </c>
      <c r="I35" s="311">
        <f t="shared" si="6"/>
        <v>0</v>
      </c>
      <c r="J35" s="416">
        <f>'Наценки-Скидки'!$I$5</f>
        <v>0</v>
      </c>
      <c r="K35" s="311">
        <f t="shared" si="9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8"/>
        <v>0</v>
      </c>
      <c r="I36" s="311">
        <f t="shared" si="6"/>
        <v>0</v>
      </c>
      <c r="J36" s="416">
        <f>'Наценки-Скидки'!$I$5</f>
        <v>0</v>
      </c>
      <c r="K36" s="311">
        <f t="shared" si="9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8"/>
        <v>0</v>
      </c>
      <c r="I37" s="311">
        <f t="shared" si="6"/>
        <v>0</v>
      </c>
      <c r="J37" s="416">
        <f>'Наценки-Скидки'!$I$5</f>
        <v>0</v>
      </c>
      <c r="K37" s="311">
        <f t="shared" si="9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8"/>
        <v>0</v>
      </c>
      <c r="I38" s="311">
        <f t="shared" si="6"/>
        <v>0</v>
      </c>
      <c r="J38" s="416">
        <f>'Наценки-Скидки'!$I$5</f>
        <v>0</v>
      </c>
      <c r="K38" s="311">
        <f t="shared" si="9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1">ROUND($N39/(1-M39),2)</f>
        <v>0</v>
      </c>
      <c r="I39" s="311">
        <f t="shared" ref="I39" si="12">G39*H39</f>
        <v>0</v>
      </c>
      <c r="J39" s="416">
        <f>'Наценки-Скидки'!$I$5</f>
        <v>0</v>
      </c>
      <c r="K39" s="311">
        <f t="shared" ref="K39" si="13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4">ROUND($N40/(1-M40),2)</f>
        <v>0</v>
      </c>
      <c r="I40" s="311">
        <f t="shared" ref="I40" si="15">G40*H40</f>
        <v>0</v>
      </c>
      <c r="J40" s="416">
        <f>'Наценки-Скидки'!$I$5</f>
        <v>0</v>
      </c>
      <c r="K40" s="311">
        <f t="shared" ref="K40" si="16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7">ROUND($N41/(1-M41),2)</f>
        <v>0</v>
      </c>
      <c r="I41" s="311">
        <f t="shared" ref="I41" si="18">G41*H41</f>
        <v>0</v>
      </c>
      <c r="J41" s="416">
        <f>'Наценки-Скидки'!$I$5</f>
        <v>0</v>
      </c>
      <c r="K41" s="311">
        <f t="shared" ref="K41" si="19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0">ROUND($N42/(1-M42),2)</f>
        <v>0</v>
      </c>
      <c r="I42" s="311">
        <f t="shared" ref="I42" si="21">G42*H42</f>
        <v>0</v>
      </c>
      <c r="J42" s="416">
        <f>'Наценки-Скидки'!$I$5</f>
        <v>0</v>
      </c>
      <c r="K42" s="311">
        <f t="shared" ref="K42" si="22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3">ROUND($N43/(1-M43),2)</f>
        <v>0</v>
      </c>
      <c r="I43" s="311">
        <f t="shared" ref="I43" si="24">G43*H43</f>
        <v>0</v>
      </c>
      <c r="J43" s="416">
        <f>'Наценки-Скидки'!$I$5</f>
        <v>0</v>
      </c>
      <c r="K43" s="311">
        <f t="shared" ref="K43" si="25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6">ROUND($N44/(1-M44),2)</f>
        <v>0</v>
      </c>
      <c r="I44" s="311">
        <f t="shared" ref="I44" si="27">G44*H44</f>
        <v>0</v>
      </c>
      <c r="J44" s="416">
        <f>'Наценки-Скидки'!$I$5</f>
        <v>0</v>
      </c>
      <c r="K44" s="311">
        <f t="shared" ref="K44" si="28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9">ROUND($N45/(1-M45),2)</f>
        <v>0</v>
      </c>
      <c r="I45" s="311">
        <f t="shared" ref="I45" si="30">G45*H45</f>
        <v>0</v>
      </c>
      <c r="J45" s="416">
        <f>'Наценки-Скидки'!$I$5</f>
        <v>0</v>
      </c>
      <c r="K45" s="311">
        <f t="shared" ref="K45" si="31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2">ROUND($N46/(1-M46),2)</f>
        <v>0</v>
      </c>
      <c r="I46" s="311">
        <f t="shared" ref="I46" si="33">G46*H46</f>
        <v>0</v>
      </c>
      <c r="J46" s="416">
        <f>'Наценки-Скидки'!$I$5</f>
        <v>0</v>
      </c>
      <c r="K46" s="311">
        <f t="shared" ref="K46" si="34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5">ROUND($N47/(1-M47),2)</f>
        <v>0</v>
      </c>
      <c r="I47" s="311">
        <f t="shared" ref="I47" si="36">G47*H47</f>
        <v>0</v>
      </c>
      <c r="J47" s="416">
        <f>'Наценки-Скидки'!$I$5</f>
        <v>0</v>
      </c>
      <c r="K47" s="311">
        <f t="shared" ref="K47" si="37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587CA-D173-491A-827E-27243E7BA937}">
  <sheetPr codeName="Лист31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/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8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8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384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ref="I9" si="5">IFERROR(H9*G9,"")</f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ref="O9" si="6">IFERROR(N9*G9,"")</f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5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7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50"/>
      <c r="E20" s="100"/>
      <c r="F20" s="270" t="s">
        <v>60</v>
      </c>
      <c r="G20" s="92"/>
      <c r="H20" s="311">
        <f>ROUND($N20/(1-M20),2)</f>
        <v>0</v>
      </c>
      <c r="I20" s="311">
        <f t="shared" ref="I20:I39" si="8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9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49"/>
      <c r="E21" s="101"/>
      <c r="F21" s="270" t="s">
        <v>60</v>
      </c>
      <c r="G21" s="92"/>
      <c r="H21" s="311">
        <f t="shared" ref="H21:H39" si="10">ROUND($N21/(1-M21),2)</f>
        <v>0</v>
      </c>
      <c r="I21" s="311">
        <f t="shared" si="8"/>
        <v>0</v>
      </c>
      <c r="J21" s="416">
        <f>'Наценки-Скидки'!$I$5</f>
        <v>0</v>
      </c>
      <c r="K21" s="311">
        <f t="shared" ref="K21:K39" si="11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9"/>
        <v>0</v>
      </c>
      <c r="T21" s="45"/>
    </row>
    <row r="22" spans="2:20" s="42" customFormat="1">
      <c r="B22" s="69">
        <f t="shared" ref="B22:B47" si="12">B21+1</f>
        <v>3</v>
      </c>
      <c r="C22" s="102"/>
      <c r="D22" s="49"/>
      <c r="E22" s="101"/>
      <c r="F22" s="270" t="s">
        <v>60</v>
      </c>
      <c r="G22" s="92"/>
      <c r="H22" s="311">
        <f t="shared" si="10"/>
        <v>0</v>
      </c>
      <c r="I22" s="311">
        <f t="shared" si="8"/>
        <v>0</v>
      </c>
      <c r="J22" s="416">
        <f>'Наценки-Скидки'!$I$5</f>
        <v>0</v>
      </c>
      <c r="K22" s="311">
        <f t="shared" si="11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9"/>
        <v>0</v>
      </c>
      <c r="T22" s="45"/>
    </row>
    <row r="23" spans="2:20" s="42" customFormat="1">
      <c r="B23" s="69">
        <f t="shared" si="12"/>
        <v>4</v>
      </c>
      <c r="C23" s="102"/>
      <c r="D23" s="49"/>
      <c r="E23" s="101"/>
      <c r="F23" s="270" t="s">
        <v>60</v>
      </c>
      <c r="G23" s="92"/>
      <c r="H23" s="311">
        <f t="shared" si="10"/>
        <v>0</v>
      </c>
      <c r="I23" s="311">
        <f t="shared" si="8"/>
        <v>0</v>
      </c>
      <c r="J23" s="416">
        <f>'Наценки-Скидки'!$I$5</f>
        <v>0</v>
      </c>
      <c r="K23" s="311">
        <f t="shared" si="11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9"/>
        <v>0</v>
      </c>
      <c r="T23" s="45"/>
    </row>
    <row r="24" spans="2:20" s="42" customFormat="1">
      <c r="B24" s="69">
        <f t="shared" si="12"/>
        <v>5</v>
      </c>
      <c r="C24" s="102"/>
      <c r="D24" s="49"/>
      <c r="E24" s="101"/>
      <c r="F24" s="270" t="s">
        <v>60</v>
      </c>
      <c r="G24" s="92"/>
      <c r="H24" s="311">
        <f t="shared" si="10"/>
        <v>0</v>
      </c>
      <c r="I24" s="311">
        <f t="shared" si="8"/>
        <v>0</v>
      </c>
      <c r="J24" s="416">
        <f>'Наценки-Скидки'!$I$5</f>
        <v>0</v>
      </c>
      <c r="K24" s="311">
        <f t="shared" si="11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9"/>
        <v>0</v>
      </c>
      <c r="T24" s="45"/>
    </row>
    <row r="25" spans="2:20" s="42" customFormat="1">
      <c r="B25" s="69">
        <f t="shared" si="12"/>
        <v>6</v>
      </c>
      <c r="C25" s="102"/>
      <c r="D25" s="49"/>
      <c r="E25" s="101"/>
      <c r="F25" s="270" t="s">
        <v>60</v>
      </c>
      <c r="G25" s="92"/>
      <c r="H25" s="311">
        <f t="shared" si="10"/>
        <v>0</v>
      </c>
      <c r="I25" s="311">
        <f t="shared" si="8"/>
        <v>0</v>
      </c>
      <c r="J25" s="416">
        <f>'Наценки-Скидки'!$I$5</f>
        <v>0</v>
      </c>
      <c r="K25" s="311">
        <f t="shared" si="11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9"/>
        <v>0</v>
      </c>
      <c r="T25" s="45"/>
    </row>
    <row r="26" spans="2:20" s="42" customFormat="1">
      <c r="B26" s="69">
        <f t="shared" si="12"/>
        <v>7</v>
      </c>
      <c r="C26" s="102"/>
      <c r="D26" s="49"/>
      <c r="E26" s="101"/>
      <c r="F26" s="270" t="s">
        <v>60</v>
      </c>
      <c r="G26" s="92"/>
      <c r="H26" s="311">
        <f t="shared" si="10"/>
        <v>0</v>
      </c>
      <c r="I26" s="311">
        <f t="shared" si="8"/>
        <v>0</v>
      </c>
      <c r="J26" s="416">
        <f>'Наценки-Скидки'!$I$5</f>
        <v>0</v>
      </c>
      <c r="K26" s="311">
        <f t="shared" si="11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si="12"/>
        <v>8</v>
      </c>
      <c r="C27" s="102"/>
      <c r="D27" s="49"/>
      <c r="E27" s="94" t="s">
        <v>198</v>
      </c>
      <c r="F27" s="270" t="s">
        <v>60</v>
      </c>
      <c r="G27" s="92"/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9</v>
      </c>
      <c r="C28" s="102"/>
      <c r="D28" s="49"/>
      <c r="E28" s="94" t="s">
        <v>198</v>
      </c>
      <c r="F28" s="270" t="s">
        <v>60</v>
      </c>
      <c r="G28" s="92"/>
      <c r="H28" s="311">
        <f t="shared" ref="H28" si="13">ROUND($N28/(1-M28),2)</f>
        <v>0</v>
      </c>
      <c r="I28" s="311">
        <f t="shared" ref="I28" si="14">G28*H28</f>
        <v>0</v>
      </c>
      <c r="J28" s="416">
        <f>'Наценки-Скидки'!$I$5</f>
        <v>0</v>
      </c>
      <c r="K28" s="311">
        <f t="shared" ref="K28" si="15">IFERROR(I28*(1-J28),"")</f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10</v>
      </c>
      <c r="C29" s="102"/>
      <c r="D29" s="49"/>
      <c r="E29" s="94" t="s">
        <v>198</v>
      </c>
      <c r="F29" s="270" t="s">
        <v>60</v>
      </c>
      <c r="G29" s="92"/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11</v>
      </c>
      <c r="C30" s="102"/>
      <c r="D30" s="49"/>
      <c r="E30" s="94" t="s">
        <v>198</v>
      </c>
      <c r="F30" s="270" t="s">
        <v>60</v>
      </c>
      <c r="G30" s="92"/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9"/>
        <v>0</v>
      </c>
      <c r="T30" s="45"/>
    </row>
    <row r="31" spans="2:20" s="42" customFormat="1">
      <c r="B31" s="69">
        <f t="shared" si="12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17</v>
      </c>
      <c r="C36" s="101"/>
      <c r="D36" s="102"/>
      <c r="E36" s="94" t="s">
        <v>198</v>
      </c>
      <c r="F36" s="270" t="s">
        <v>60</v>
      </c>
      <c r="G36" s="95"/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19</v>
      </c>
      <c r="C38" s="102"/>
      <c r="D38" s="102"/>
      <c r="E38" s="101"/>
      <c r="F38" s="270" t="s">
        <v>60</v>
      </c>
      <c r="G38" s="99"/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si="10"/>
        <v>0</v>
      </c>
      <c r="I39" s="311">
        <f t="shared" si="8"/>
        <v>0</v>
      </c>
      <c r="J39" s="416">
        <f>'Наценки-Скидки'!$I$5</f>
        <v>0</v>
      </c>
      <c r="K39" s="311">
        <f t="shared" si="11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s="42" customFormat="1">
      <c r="B45" s="69">
        <f t="shared" si="12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9"/>
        <v>0</v>
      </c>
      <c r="T45" s="45"/>
    </row>
    <row r="46" spans="2:20" s="42" customFormat="1">
      <c r="B46" s="69">
        <f t="shared" si="12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9"/>
        <v>0</v>
      </c>
      <c r="T46" s="45"/>
    </row>
    <row r="47" spans="2:20" s="42" customFormat="1">
      <c r="B47" s="69">
        <f t="shared" si="12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9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8C2DC-8AF3-4457-831A-808F030C39D0}">
  <sheetPr codeName="Лист32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8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8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ref="I9" si="5">IFERROR(H9*G9,"")</f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ref="O9" si="6">IFERROR(N9*G9,"")</f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7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8" si="8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9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10">ROUND($N21/(1-M21),2)</f>
        <v>0</v>
      </c>
      <c r="I21" s="311">
        <f t="shared" si="8"/>
        <v>0</v>
      </c>
      <c r="J21" s="416">
        <f>'Наценки-Скидки'!$I$5</f>
        <v>0</v>
      </c>
      <c r="K21" s="311">
        <f t="shared" ref="K21:K38" si="11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9"/>
        <v>0</v>
      </c>
      <c r="T21" s="45"/>
    </row>
    <row r="22" spans="2:20" s="42" customFormat="1">
      <c r="B22" s="69">
        <f t="shared" ref="B22:B47" si="12">B21+1</f>
        <v>3</v>
      </c>
      <c r="C22" s="102"/>
      <c r="D22" s="102"/>
      <c r="E22" s="101"/>
      <c r="F22" s="270" t="s">
        <v>60</v>
      </c>
      <c r="G22" s="99"/>
      <c r="H22" s="311">
        <f t="shared" si="10"/>
        <v>0</v>
      </c>
      <c r="I22" s="311">
        <f t="shared" si="8"/>
        <v>0</v>
      </c>
      <c r="J22" s="416">
        <f>'Наценки-Скидки'!$I$5</f>
        <v>0</v>
      </c>
      <c r="K22" s="311">
        <f t="shared" si="11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9"/>
        <v>0</v>
      </c>
      <c r="T22" s="45"/>
    </row>
    <row r="23" spans="2:20" s="42" customFormat="1">
      <c r="B23" s="69">
        <f t="shared" si="12"/>
        <v>4</v>
      </c>
      <c r="C23" s="102"/>
      <c r="D23" s="102"/>
      <c r="E23" s="101"/>
      <c r="F23" s="270" t="s">
        <v>60</v>
      </c>
      <c r="G23" s="99"/>
      <c r="H23" s="311">
        <f t="shared" si="10"/>
        <v>0</v>
      </c>
      <c r="I23" s="311">
        <f t="shared" si="8"/>
        <v>0</v>
      </c>
      <c r="J23" s="416">
        <f>'Наценки-Скидки'!$I$5</f>
        <v>0</v>
      </c>
      <c r="K23" s="311">
        <f t="shared" si="11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9"/>
        <v>0</v>
      </c>
      <c r="T23" s="45"/>
    </row>
    <row r="24" spans="2:20" s="42" customFormat="1">
      <c r="B24" s="69">
        <f t="shared" si="12"/>
        <v>5</v>
      </c>
      <c r="C24" s="101"/>
      <c r="D24" s="102"/>
      <c r="E24" s="101"/>
      <c r="F24" s="270" t="s">
        <v>60</v>
      </c>
      <c r="G24" s="99"/>
      <c r="H24" s="311">
        <f t="shared" si="10"/>
        <v>0</v>
      </c>
      <c r="I24" s="311">
        <f t="shared" si="8"/>
        <v>0</v>
      </c>
      <c r="J24" s="416">
        <f>'Наценки-Скидки'!$I$5</f>
        <v>0</v>
      </c>
      <c r="K24" s="311">
        <f t="shared" si="11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9"/>
        <v>0</v>
      </c>
      <c r="T24" s="45"/>
    </row>
    <row r="25" spans="2:20" s="42" customFormat="1">
      <c r="B25" s="69">
        <f t="shared" si="12"/>
        <v>6</v>
      </c>
      <c r="C25" s="101"/>
      <c r="D25" s="102"/>
      <c r="E25" s="101"/>
      <c r="F25" s="270" t="s">
        <v>60</v>
      </c>
      <c r="G25" s="99"/>
      <c r="H25" s="311">
        <f t="shared" si="10"/>
        <v>0</v>
      </c>
      <c r="I25" s="311">
        <f t="shared" si="8"/>
        <v>0</v>
      </c>
      <c r="J25" s="416">
        <f>'Наценки-Скидки'!$I$5</f>
        <v>0</v>
      </c>
      <c r="K25" s="311">
        <f t="shared" si="11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9"/>
        <v>0</v>
      </c>
      <c r="T25" s="45"/>
    </row>
    <row r="26" spans="2:20" s="42" customFormat="1">
      <c r="B26" s="69">
        <f t="shared" si="12"/>
        <v>7</v>
      </c>
      <c r="C26" s="102"/>
      <c r="D26" s="102"/>
      <c r="E26" s="101"/>
      <c r="F26" s="270" t="s">
        <v>60</v>
      </c>
      <c r="G26" s="99"/>
      <c r="H26" s="311">
        <f t="shared" si="10"/>
        <v>0</v>
      </c>
      <c r="I26" s="311">
        <f t="shared" si="8"/>
        <v>0</v>
      </c>
      <c r="J26" s="416">
        <f>'Наценки-Скидки'!$I$5</f>
        <v>0</v>
      </c>
      <c r="K26" s="311">
        <f t="shared" si="11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si="12"/>
        <v>8</v>
      </c>
      <c r="C27" s="102"/>
      <c r="D27" s="102"/>
      <c r="E27" s="101"/>
      <c r="F27" s="270" t="s">
        <v>60</v>
      </c>
      <c r="G27" s="99"/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10"/>
        <v>0</v>
      </c>
      <c r="I28" s="311">
        <f t="shared" si="8"/>
        <v>0</v>
      </c>
      <c r="J28" s="416">
        <f>'Наценки-Скидки'!$I$5</f>
        <v>0</v>
      </c>
      <c r="K28" s="311">
        <f t="shared" si="11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9"/>
        <v>0</v>
      </c>
      <c r="T30" s="45"/>
    </row>
    <row r="31" spans="2:20" s="42" customFormat="1">
      <c r="B31" s="69">
        <f t="shared" si="12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15</v>
      </c>
      <c r="C34" s="101"/>
      <c r="D34" s="102"/>
      <c r="E34" s="94"/>
      <c r="F34" s="270" t="s">
        <v>60</v>
      </c>
      <c r="G34" s="95"/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16</v>
      </c>
      <c r="C35" s="101"/>
      <c r="D35" s="102"/>
      <c r="E35" s="94"/>
      <c r="F35" s="270" t="s">
        <v>60</v>
      </c>
      <c r="G35" s="95"/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17</v>
      </c>
      <c r="C36" s="102"/>
      <c r="D36" s="102"/>
      <c r="E36" s="94"/>
      <c r="F36" s="270" t="s">
        <v>60</v>
      </c>
      <c r="G36" s="95"/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3">ROUND($N39/(1-M39),2)</f>
        <v>0</v>
      </c>
      <c r="I39" s="311">
        <f t="shared" ref="I39" si="14">G39*H39</f>
        <v>0</v>
      </c>
      <c r="J39" s="416">
        <f>'Наценки-Скидки'!$I$5</f>
        <v>0</v>
      </c>
      <c r="K39" s="311">
        <f t="shared" ref="K39" si="15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s="42" customFormat="1">
      <c r="B45" s="69">
        <f t="shared" si="12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9"/>
        <v>0</v>
      </c>
      <c r="T45" s="45"/>
    </row>
    <row r="46" spans="2:20" s="42" customFormat="1">
      <c r="B46" s="69">
        <f t="shared" si="12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9"/>
        <v>0</v>
      </c>
      <c r="T46" s="45"/>
    </row>
    <row r="47" spans="2:20" s="42" customFormat="1">
      <c r="B47" s="69">
        <f t="shared" si="12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9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8FDAF-B939-4F5F-B0B4-71E6602816FE}">
  <sheetPr codeName="Лист33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8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8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ref="I9" si="5">IFERROR(H9*G9,"")</f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ref="O9" si="6">IFERROR(N9*G9,"")</f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7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8" si="8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9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10">ROUND($N21/(1-M21),2)</f>
        <v>0</v>
      </c>
      <c r="I21" s="311">
        <f t="shared" si="8"/>
        <v>0</v>
      </c>
      <c r="J21" s="416">
        <f>'Наценки-Скидки'!$I$5</f>
        <v>0</v>
      </c>
      <c r="K21" s="311">
        <f t="shared" ref="K21:K38" si="11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9"/>
        <v>0</v>
      </c>
      <c r="T21" s="45"/>
    </row>
    <row r="22" spans="2:20" s="42" customFormat="1">
      <c r="B22" s="69">
        <f t="shared" ref="B22:B47" si="12">B21+1</f>
        <v>3</v>
      </c>
      <c r="C22" s="102"/>
      <c r="D22" s="102"/>
      <c r="E22" s="101"/>
      <c r="F22" s="270" t="s">
        <v>60</v>
      </c>
      <c r="G22" s="99"/>
      <c r="H22" s="311">
        <f t="shared" si="10"/>
        <v>0</v>
      </c>
      <c r="I22" s="311">
        <f t="shared" si="8"/>
        <v>0</v>
      </c>
      <c r="J22" s="416">
        <f>'Наценки-Скидки'!$I$5</f>
        <v>0</v>
      </c>
      <c r="K22" s="311">
        <f t="shared" si="11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9"/>
        <v>0</v>
      </c>
      <c r="T22" s="45"/>
    </row>
    <row r="23" spans="2:20" s="42" customFormat="1">
      <c r="B23" s="69">
        <f t="shared" si="12"/>
        <v>4</v>
      </c>
      <c r="C23" s="102"/>
      <c r="D23" s="102"/>
      <c r="E23" s="101"/>
      <c r="F23" s="270" t="s">
        <v>60</v>
      </c>
      <c r="G23" s="99"/>
      <c r="H23" s="311">
        <f t="shared" si="10"/>
        <v>0</v>
      </c>
      <c r="I23" s="311">
        <f t="shared" si="8"/>
        <v>0</v>
      </c>
      <c r="J23" s="416">
        <f>'Наценки-Скидки'!$I$5</f>
        <v>0</v>
      </c>
      <c r="K23" s="311">
        <f t="shared" si="11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9"/>
        <v>0</v>
      </c>
      <c r="T23" s="45"/>
    </row>
    <row r="24" spans="2:20" s="42" customFormat="1">
      <c r="B24" s="69">
        <f t="shared" si="12"/>
        <v>5</v>
      </c>
      <c r="C24" s="102"/>
      <c r="D24" s="102"/>
      <c r="E24" s="101"/>
      <c r="F24" s="270" t="s">
        <v>60</v>
      </c>
      <c r="G24" s="99"/>
      <c r="H24" s="311">
        <f t="shared" si="10"/>
        <v>0</v>
      </c>
      <c r="I24" s="311">
        <f t="shared" si="8"/>
        <v>0</v>
      </c>
      <c r="J24" s="416">
        <f>'Наценки-Скидки'!$I$5</f>
        <v>0</v>
      </c>
      <c r="K24" s="311">
        <f t="shared" si="11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9"/>
        <v>0</v>
      </c>
      <c r="T24" s="45"/>
    </row>
    <row r="25" spans="2:20" s="42" customFormat="1">
      <c r="B25" s="69">
        <f t="shared" si="12"/>
        <v>6</v>
      </c>
      <c r="C25" s="102"/>
      <c r="D25" s="102"/>
      <c r="E25" s="101"/>
      <c r="F25" s="270" t="s">
        <v>60</v>
      </c>
      <c r="G25" s="99"/>
      <c r="H25" s="311">
        <f t="shared" si="10"/>
        <v>0</v>
      </c>
      <c r="I25" s="311">
        <f t="shared" si="8"/>
        <v>0</v>
      </c>
      <c r="J25" s="416">
        <f>'Наценки-Скидки'!$I$5</f>
        <v>0</v>
      </c>
      <c r="K25" s="311">
        <f t="shared" si="11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9"/>
        <v>0</v>
      </c>
      <c r="T25" s="45"/>
    </row>
    <row r="26" spans="2:20" s="42" customFormat="1">
      <c r="B26" s="69">
        <f t="shared" si="12"/>
        <v>7</v>
      </c>
      <c r="C26" s="102"/>
      <c r="D26" s="102"/>
      <c r="E26" s="101"/>
      <c r="F26" s="270" t="s">
        <v>60</v>
      </c>
      <c r="G26" s="99"/>
      <c r="H26" s="311">
        <f t="shared" si="10"/>
        <v>0</v>
      </c>
      <c r="I26" s="311">
        <f t="shared" si="8"/>
        <v>0</v>
      </c>
      <c r="J26" s="416">
        <f>'Наценки-Скидки'!$I$5</f>
        <v>0</v>
      </c>
      <c r="K26" s="311">
        <f t="shared" si="11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si="12"/>
        <v>8</v>
      </c>
      <c r="C27" s="102"/>
      <c r="D27" s="102"/>
      <c r="E27" s="94"/>
      <c r="F27" s="270" t="s">
        <v>60</v>
      </c>
      <c r="G27" s="95"/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10"/>
        <v>0</v>
      </c>
      <c r="I28" s="311">
        <f t="shared" si="8"/>
        <v>0</v>
      </c>
      <c r="J28" s="416">
        <f>'Наценки-Скидки'!$I$5</f>
        <v>0</v>
      </c>
      <c r="K28" s="311">
        <f t="shared" si="11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9"/>
        <v>0</v>
      </c>
      <c r="T30" s="45"/>
    </row>
    <row r="31" spans="2:20" s="42" customFormat="1">
      <c r="B31" s="69">
        <f t="shared" si="12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3">ROUND($N39/(1-M39),2)</f>
        <v>0</v>
      </c>
      <c r="I39" s="311">
        <f t="shared" ref="I39" si="14">G39*H39</f>
        <v>0</v>
      </c>
      <c r="J39" s="416">
        <f>'Наценки-Скидки'!$I$5</f>
        <v>0</v>
      </c>
      <c r="K39" s="311">
        <f t="shared" ref="K39" si="15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s="42" customFormat="1">
      <c r="B45" s="69">
        <f t="shared" si="12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9"/>
        <v>0</v>
      </c>
      <c r="T45" s="45"/>
    </row>
    <row r="46" spans="2:20" s="42" customFormat="1">
      <c r="B46" s="69">
        <f t="shared" si="12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9"/>
        <v>0</v>
      </c>
      <c r="T46" s="45"/>
    </row>
    <row r="47" spans="2:20" s="42" customFormat="1">
      <c r="B47" s="69">
        <f t="shared" si="12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9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519" t="s">
        <v>256</v>
      </c>
      <c r="D54" s="520"/>
      <c r="E54" s="520"/>
      <c r="F54" s="520"/>
      <c r="G54" s="521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E9CE6-B3DC-4DBE-8CB9-7956A695DD0B}">
  <sheetPr codeName="Лист34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102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8" si="9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2"/>
      <c r="D22" s="102"/>
      <c r="E22" s="101"/>
      <c r="F22" s="270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2"/>
      <c r="D23" s="102"/>
      <c r="E23" s="101"/>
      <c r="F23" s="270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2"/>
      <c r="D24" s="102"/>
      <c r="E24" s="101"/>
      <c r="F24" s="270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2"/>
      <c r="D25" s="102"/>
      <c r="E25" s="101"/>
      <c r="F25" s="270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2"/>
      <c r="D26" s="49"/>
      <c r="E26" s="101"/>
      <c r="F26" s="270" t="s">
        <v>60</v>
      </c>
      <c r="G26" s="92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8"/>
        <v>0</v>
      </c>
      <c r="I32" s="311">
        <f t="shared" si="6"/>
        <v>0</v>
      </c>
      <c r="J32" s="416">
        <f>'Наценки-Скидки'!$I$5</f>
        <v>0</v>
      </c>
      <c r="K32" s="311">
        <f t="shared" si="9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8"/>
        <v>0</v>
      </c>
      <c r="I33" s="311">
        <f t="shared" si="6"/>
        <v>0</v>
      </c>
      <c r="J33" s="416">
        <f>'Наценки-Скидки'!$I$5</f>
        <v>0</v>
      </c>
      <c r="K33" s="311">
        <f t="shared" si="9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si="8"/>
        <v>0</v>
      </c>
      <c r="I34" s="311">
        <f t="shared" si="6"/>
        <v>0</v>
      </c>
      <c r="J34" s="416">
        <f>'Наценки-Скидки'!$I$5</f>
        <v>0</v>
      </c>
      <c r="K34" s="311">
        <f t="shared" si="9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si="8"/>
        <v>0</v>
      </c>
      <c r="I35" s="311">
        <f t="shared" si="6"/>
        <v>0</v>
      </c>
      <c r="J35" s="416">
        <f>'Наценки-Скидки'!$I$5</f>
        <v>0</v>
      </c>
      <c r="K35" s="311">
        <f t="shared" si="9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8"/>
        <v>0</v>
      </c>
      <c r="I36" s="311">
        <f t="shared" si="6"/>
        <v>0</v>
      </c>
      <c r="J36" s="416">
        <f>'Наценки-Скидки'!$I$5</f>
        <v>0</v>
      </c>
      <c r="K36" s="311">
        <f t="shared" si="9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si="8"/>
        <v>0</v>
      </c>
      <c r="I37" s="311">
        <f t="shared" si="6"/>
        <v>0</v>
      </c>
      <c r="J37" s="416">
        <f>'Наценки-Скидки'!$I$5</f>
        <v>0</v>
      </c>
      <c r="K37" s="311">
        <f t="shared" si="9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/>
      <c r="E38" s="101"/>
      <c r="F38" s="270" t="s">
        <v>60</v>
      </c>
      <c r="G38" s="99"/>
      <c r="H38" s="311">
        <f t="shared" si="8"/>
        <v>0</v>
      </c>
      <c r="I38" s="311">
        <f t="shared" si="6"/>
        <v>0</v>
      </c>
      <c r="J38" s="416">
        <f>'Наценки-Скидки'!$I$5</f>
        <v>0</v>
      </c>
      <c r="K38" s="311">
        <f t="shared" si="9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ref="H39" si="11">ROUND($N39/(1-M39),2)</f>
        <v>0</v>
      </c>
      <c r="I39" s="311">
        <f t="shared" si="6"/>
        <v>0</v>
      </c>
      <c r="J39" s="416">
        <f>'Наценки-Скидки'!$I$5</f>
        <v>0</v>
      </c>
      <c r="K39" s="311">
        <f t="shared" ref="K39" si="12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13">ROUND($N40/(1-M40),2)</f>
        <v>0</v>
      </c>
      <c r="I40" s="311">
        <f t="shared" ref="I40" si="14">G40*H40</f>
        <v>0</v>
      </c>
      <c r="J40" s="416">
        <f>'Наценки-Скидки'!$I$5</f>
        <v>0</v>
      </c>
      <c r="K40" s="311">
        <f t="shared" ref="K40" si="15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16">ROUND($N41/(1-M41),2)</f>
        <v>0</v>
      </c>
      <c r="I41" s="311">
        <f t="shared" ref="I41" si="17">G41*H41</f>
        <v>0</v>
      </c>
      <c r="J41" s="416">
        <f>'Наценки-Скидки'!$I$5</f>
        <v>0</v>
      </c>
      <c r="K41" s="311">
        <f t="shared" ref="K41" si="18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19">ROUND($N42/(1-M42),2)</f>
        <v>0</v>
      </c>
      <c r="I42" s="311">
        <f t="shared" ref="I42" si="20">G42*H42</f>
        <v>0</v>
      </c>
      <c r="J42" s="416">
        <f>'Наценки-Скидки'!$I$5</f>
        <v>0</v>
      </c>
      <c r="K42" s="311">
        <f t="shared" ref="K42" si="21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22">ROUND($N43/(1-M43),2)</f>
        <v>0</v>
      </c>
      <c r="I43" s="311">
        <f t="shared" ref="I43" si="23">G43*H43</f>
        <v>0</v>
      </c>
      <c r="J43" s="416">
        <f>'Наценки-Скидки'!$I$5</f>
        <v>0</v>
      </c>
      <c r="K43" s="311">
        <f t="shared" ref="K43" si="24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25">ROUND($N44/(1-M44),2)</f>
        <v>0</v>
      </c>
      <c r="I44" s="311">
        <f t="shared" ref="I44" si="26">G44*H44</f>
        <v>0</v>
      </c>
      <c r="J44" s="416">
        <f>'Наценки-Скидки'!$I$5</f>
        <v>0</v>
      </c>
      <c r="K44" s="311">
        <f t="shared" ref="K44" si="27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28">ROUND($N45/(1-M45),2)</f>
        <v>0</v>
      </c>
      <c r="I45" s="311">
        <f t="shared" ref="I45" si="29">G45*H45</f>
        <v>0</v>
      </c>
      <c r="J45" s="416">
        <f>'Наценки-Скидки'!$I$5</f>
        <v>0</v>
      </c>
      <c r="K45" s="311">
        <f t="shared" ref="K45" si="30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31">ROUND($N46/(1-M46),2)</f>
        <v>0</v>
      </c>
      <c r="I46" s="311">
        <f t="shared" ref="I46" si="32">G46*H46</f>
        <v>0</v>
      </c>
      <c r="J46" s="416">
        <f>'Наценки-Скидки'!$I$5</f>
        <v>0</v>
      </c>
      <c r="K46" s="311">
        <f t="shared" ref="K46" si="33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34">ROUND($N47/(1-M47),2)</f>
        <v>0</v>
      </c>
      <c r="I47" s="311">
        <f t="shared" ref="I47" si="35">G47*H47</f>
        <v>0</v>
      </c>
      <c r="J47" s="416">
        <f>'Наценки-Скидки'!$I$5</f>
        <v>0</v>
      </c>
      <c r="K47" s="311">
        <f t="shared" ref="K47" si="36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00A57-8B1F-4724-A81B-D3B502A6B89E}">
  <sheetPr codeName="Лист35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/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50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50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50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102"/>
      <c r="E14" s="100"/>
      <c r="F14" s="48" t="s">
        <v>60</v>
      </c>
      <c r="G14" s="95"/>
      <c r="H14" s="418">
        <f>ROUND(,2)</f>
        <v>0</v>
      </c>
      <c r="I14" s="311">
        <f t="shared" ref="I14:I15" si="5"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 t="shared" ref="O14:O15" si="6">$N14*$G14</f>
        <v>0</v>
      </c>
      <c r="R14" s="2"/>
      <c r="T14" s="28"/>
    </row>
    <row r="15" spans="2:20" s="42" customFormat="1">
      <c r="B15" s="69">
        <f t="shared" ref="B15" si="7"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 t="shared" si="5"/>
        <v>0</v>
      </c>
      <c r="J15" s="416">
        <f>'Наценки-Скидки'!$I$4</f>
        <v>0</v>
      </c>
      <c r="K15" s="405">
        <f t="shared" ref="K15" si="8">IFERROR(I15*(1-J15),"")</f>
        <v>0</v>
      </c>
      <c r="N15" s="406"/>
      <c r="O15" s="404">
        <f t="shared" si="6"/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9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10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11">ROUND($N21/(1-M21),2)</f>
        <v>0</v>
      </c>
      <c r="I21" s="311">
        <f t="shared" si="9"/>
        <v>0</v>
      </c>
      <c r="J21" s="416">
        <f>'Наценки-Скидки'!$I$5</f>
        <v>0</v>
      </c>
      <c r="K21" s="311">
        <f t="shared" ref="K21:K38" si="12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10"/>
        <v>0</v>
      </c>
      <c r="T21" s="45"/>
    </row>
    <row r="22" spans="2:20" s="42" customFormat="1">
      <c r="B22" s="69">
        <f t="shared" ref="B22:B47" si="13">B21+1</f>
        <v>3</v>
      </c>
      <c r="C22" s="102"/>
      <c r="D22" s="102"/>
      <c r="E22" s="101"/>
      <c r="F22" s="270" t="s">
        <v>60</v>
      </c>
      <c r="G22" s="99"/>
      <c r="H22" s="311">
        <f t="shared" si="11"/>
        <v>0</v>
      </c>
      <c r="I22" s="311">
        <f t="shared" si="9"/>
        <v>0</v>
      </c>
      <c r="J22" s="416">
        <f>'Наценки-Скидки'!$I$5</f>
        <v>0</v>
      </c>
      <c r="K22" s="311">
        <f t="shared" si="12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10"/>
        <v>0</v>
      </c>
      <c r="T22" s="45"/>
    </row>
    <row r="23" spans="2:20" s="42" customFormat="1">
      <c r="B23" s="69">
        <f t="shared" si="13"/>
        <v>4</v>
      </c>
      <c r="C23" s="102"/>
      <c r="D23" s="102"/>
      <c r="E23" s="101"/>
      <c r="F23" s="270" t="s">
        <v>60</v>
      </c>
      <c r="G23" s="99"/>
      <c r="H23" s="311">
        <f t="shared" si="11"/>
        <v>0</v>
      </c>
      <c r="I23" s="311">
        <f t="shared" si="9"/>
        <v>0</v>
      </c>
      <c r="J23" s="416">
        <f>'Наценки-Скидки'!$I$5</f>
        <v>0</v>
      </c>
      <c r="K23" s="311">
        <f t="shared" si="12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10"/>
        <v>0</v>
      </c>
      <c r="T23" s="45"/>
    </row>
    <row r="24" spans="2:20" s="42" customFormat="1">
      <c r="B24" s="69">
        <f t="shared" si="13"/>
        <v>5</v>
      </c>
      <c r="C24" s="102"/>
      <c r="D24" s="102"/>
      <c r="E24" s="101"/>
      <c r="F24" s="270" t="s">
        <v>60</v>
      </c>
      <c r="G24" s="99"/>
      <c r="H24" s="311">
        <f t="shared" si="11"/>
        <v>0</v>
      </c>
      <c r="I24" s="311">
        <f t="shared" si="9"/>
        <v>0</v>
      </c>
      <c r="J24" s="416">
        <f>'Наценки-Скидки'!$I$5</f>
        <v>0</v>
      </c>
      <c r="K24" s="311">
        <f t="shared" si="12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10"/>
        <v>0</v>
      </c>
      <c r="T24" s="45"/>
    </row>
    <row r="25" spans="2:20" s="42" customFormat="1">
      <c r="B25" s="69">
        <f t="shared" si="13"/>
        <v>6</v>
      </c>
      <c r="C25" s="102"/>
      <c r="D25" s="102"/>
      <c r="E25" s="101"/>
      <c r="F25" s="270" t="s">
        <v>60</v>
      </c>
      <c r="G25" s="99"/>
      <c r="H25" s="311">
        <f t="shared" si="11"/>
        <v>0</v>
      </c>
      <c r="I25" s="311">
        <f t="shared" si="9"/>
        <v>0</v>
      </c>
      <c r="J25" s="416">
        <f>'Наценки-Скидки'!$I$5</f>
        <v>0</v>
      </c>
      <c r="K25" s="311">
        <f t="shared" si="12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10"/>
        <v>0</v>
      </c>
      <c r="T25" s="45"/>
    </row>
    <row r="26" spans="2:20" s="42" customFormat="1">
      <c r="B26" s="69">
        <f t="shared" si="13"/>
        <v>7</v>
      </c>
      <c r="C26" s="102"/>
      <c r="D26" s="49"/>
      <c r="E26" s="101"/>
      <c r="F26" s="270" t="s">
        <v>60</v>
      </c>
      <c r="G26" s="92"/>
      <c r="H26" s="311">
        <f t="shared" si="11"/>
        <v>0</v>
      </c>
      <c r="I26" s="311">
        <f t="shared" si="9"/>
        <v>0</v>
      </c>
      <c r="J26" s="416">
        <f>'Наценки-Скидки'!$I$5</f>
        <v>0</v>
      </c>
      <c r="K26" s="311">
        <f t="shared" si="12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10"/>
        <v>0</v>
      </c>
      <c r="T26" s="45"/>
    </row>
    <row r="27" spans="2:20" s="42" customFormat="1">
      <c r="B27" s="69">
        <f t="shared" si="13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11"/>
        <v>0</v>
      </c>
      <c r="I27" s="311">
        <f t="shared" si="9"/>
        <v>0</v>
      </c>
      <c r="J27" s="416">
        <f>'Наценки-Скидки'!$I$5</f>
        <v>0</v>
      </c>
      <c r="K27" s="311">
        <f t="shared" si="12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10"/>
        <v>0</v>
      </c>
      <c r="T27" s="45"/>
    </row>
    <row r="28" spans="2:20" s="42" customFormat="1">
      <c r="B28" s="69">
        <f t="shared" si="13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11"/>
        <v>0</v>
      </c>
      <c r="I28" s="311">
        <f t="shared" si="9"/>
        <v>0</v>
      </c>
      <c r="J28" s="416">
        <f>'Наценки-Скидки'!$I$5</f>
        <v>0</v>
      </c>
      <c r="K28" s="311">
        <f t="shared" si="12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10"/>
        <v>0</v>
      </c>
      <c r="T28" s="45"/>
    </row>
    <row r="29" spans="2:20" s="42" customFormat="1">
      <c r="B29" s="69">
        <f t="shared" si="13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11"/>
        <v>0</v>
      </c>
      <c r="I29" s="311">
        <f t="shared" si="9"/>
        <v>0</v>
      </c>
      <c r="J29" s="416">
        <f>'Наценки-Скидки'!$I$5</f>
        <v>0</v>
      </c>
      <c r="K29" s="311">
        <f t="shared" si="12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10"/>
        <v>0</v>
      </c>
      <c r="T29" s="45"/>
    </row>
    <row r="30" spans="2:20" s="42" customFormat="1">
      <c r="B30" s="69">
        <f t="shared" si="13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11"/>
        <v>0</v>
      </c>
      <c r="I30" s="311">
        <f t="shared" si="9"/>
        <v>0</v>
      </c>
      <c r="J30" s="416">
        <f>'Наценки-Скидки'!$I$5</f>
        <v>0</v>
      </c>
      <c r="K30" s="311">
        <f t="shared" si="12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10"/>
        <v>0</v>
      </c>
      <c r="T30" s="45"/>
    </row>
    <row r="31" spans="2:20" s="42" customFormat="1">
      <c r="B31" s="69">
        <f t="shared" si="13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1"/>
        <v>0</v>
      </c>
      <c r="I31" s="311">
        <f t="shared" si="9"/>
        <v>0</v>
      </c>
      <c r="J31" s="416">
        <f>'Наценки-Скидки'!$I$5</f>
        <v>0</v>
      </c>
      <c r="K31" s="311">
        <f t="shared" si="12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10"/>
        <v>0</v>
      </c>
      <c r="T31" s="45"/>
    </row>
    <row r="32" spans="2:20" s="42" customFormat="1">
      <c r="B32" s="69">
        <f t="shared" si="13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1"/>
        <v>0</v>
      </c>
      <c r="I32" s="311">
        <f t="shared" si="9"/>
        <v>0</v>
      </c>
      <c r="J32" s="416">
        <f>'Наценки-Скидки'!$I$5</f>
        <v>0</v>
      </c>
      <c r="K32" s="311">
        <f t="shared" si="12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10"/>
        <v>0</v>
      </c>
      <c r="T32" s="45"/>
    </row>
    <row r="33" spans="2:20" s="42" customFormat="1">
      <c r="B33" s="69">
        <f t="shared" si="13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1"/>
        <v>0</v>
      </c>
      <c r="I33" s="311">
        <f t="shared" si="9"/>
        <v>0</v>
      </c>
      <c r="J33" s="416">
        <f>'Наценки-Скидки'!$I$5</f>
        <v>0</v>
      </c>
      <c r="K33" s="311">
        <f t="shared" si="12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10"/>
        <v>0</v>
      </c>
      <c r="T33" s="45"/>
    </row>
    <row r="34" spans="2:20" s="42" customFormat="1">
      <c r="B34" s="69">
        <f t="shared" si="13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si="11"/>
        <v>0</v>
      </c>
      <c r="I34" s="311">
        <f t="shared" si="9"/>
        <v>0</v>
      </c>
      <c r="J34" s="416">
        <f>'Наценки-Скидки'!$I$5</f>
        <v>0</v>
      </c>
      <c r="K34" s="311">
        <f t="shared" si="12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10"/>
        <v>0</v>
      </c>
      <c r="T34" s="45"/>
    </row>
    <row r="35" spans="2:20" s="42" customFormat="1">
      <c r="B35" s="69">
        <f t="shared" si="13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si="11"/>
        <v>0</v>
      </c>
      <c r="I35" s="311">
        <f t="shared" si="9"/>
        <v>0</v>
      </c>
      <c r="J35" s="416">
        <f>'Наценки-Скидки'!$I$5</f>
        <v>0</v>
      </c>
      <c r="K35" s="311">
        <f t="shared" si="12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10"/>
        <v>0</v>
      </c>
      <c r="T35" s="45"/>
    </row>
    <row r="36" spans="2:20" s="42" customFormat="1">
      <c r="B36" s="69">
        <f t="shared" si="13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11"/>
        <v>0</v>
      </c>
      <c r="I36" s="311">
        <f t="shared" si="9"/>
        <v>0</v>
      </c>
      <c r="J36" s="416">
        <f>'Наценки-Скидки'!$I$5</f>
        <v>0</v>
      </c>
      <c r="K36" s="311">
        <f t="shared" si="12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10"/>
        <v>0</v>
      </c>
      <c r="T36" s="45"/>
    </row>
    <row r="37" spans="2:20" s="42" customFormat="1">
      <c r="B37" s="69">
        <f t="shared" si="13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si="11"/>
        <v>0</v>
      </c>
      <c r="I37" s="311">
        <f t="shared" si="9"/>
        <v>0</v>
      </c>
      <c r="J37" s="416">
        <f>'Наценки-Скидки'!$I$5</f>
        <v>0</v>
      </c>
      <c r="K37" s="311">
        <f t="shared" si="12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10"/>
        <v>0</v>
      </c>
      <c r="T37" s="45"/>
    </row>
    <row r="38" spans="2:20" s="42" customFormat="1">
      <c r="B38" s="69">
        <f t="shared" si="13"/>
        <v>19</v>
      </c>
      <c r="C38" s="102"/>
      <c r="D38" s="102"/>
      <c r="E38" s="94" t="s">
        <v>198</v>
      </c>
      <c r="F38" s="270" t="s">
        <v>60</v>
      </c>
      <c r="G38" s="95"/>
      <c r="H38" s="311">
        <f t="shared" si="11"/>
        <v>0</v>
      </c>
      <c r="I38" s="311">
        <f t="shared" si="9"/>
        <v>0</v>
      </c>
      <c r="J38" s="416">
        <f>'Наценки-Скидки'!$I$5</f>
        <v>0</v>
      </c>
      <c r="K38" s="311">
        <f t="shared" si="12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10"/>
        <v>0</v>
      </c>
      <c r="T38" s="45"/>
    </row>
    <row r="39" spans="2:20" s="42" customFormat="1">
      <c r="B39" s="69">
        <f t="shared" si="13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ref="H39" si="14">ROUND($N39/(1-M39),2)</f>
        <v>0</v>
      </c>
      <c r="I39" s="311">
        <f t="shared" si="9"/>
        <v>0</v>
      </c>
      <c r="J39" s="416">
        <f>'Наценки-Скидки'!$I$5</f>
        <v>0</v>
      </c>
      <c r="K39" s="311">
        <f t="shared" ref="K39" si="15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10"/>
        <v>0</v>
      </c>
      <c r="T39" s="45"/>
    </row>
    <row r="40" spans="2:20" s="42" customFormat="1">
      <c r="B40" s="69">
        <f t="shared" si="13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10"/>
        <v>0</v>
      </c>
      <c r="T40" s="45"/>
    </row>
    <row r="41" spans="2:20" s="42" customFormat="1">
      <c r="B41" s="69">
        <f t="shared" si="13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10"/>
        <v>0</v>
      </c>
      <c r="T41" s="45"/>
    </row>
    <row r="42" spans="2:20" s="42" customFormat="1">
      <c r="B42" s="69">
        <f t="shared" si="13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10"/>
        <v>0</v>
      </c>
      <c r="T42" s="45"/>
    </row>
    <row r="43" spans="2:20" s="42" customFormat="1">
      <c r="B43" s="69">
        <f t="shared" si="13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10"/>
        <v>0</v>
      </c>
      <c r="T43" s="45"/>
    </row>
    <row r="44" spans="2:20" s="42" customFormat="1">
      <c r="B44" s="69">
        <f t="shared" si="13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10"/>
        <v>0</v>
      </c>
      <c r="T44" s="45"/>
    </row>
    <row r="45" spans="2:20" s="42" customFormat="1">
      <c r="B45" s="69">
        <f t="shared" si="13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10"/>
        <v>0</v>
      </c>
      <c r="T45" s="45"/>
    </row>
    <row r="46" spans="2:20" s="42" customFormat="1">
      <c r="B46" s="69">
        <f t="shared" si="13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10"/>
        <v>0</v>
      </c>
      <c r="T46" s="45"/>
    </row>
    <row r="47" spans="2:20" s="42" customFormat="1">
      <c r="B47" s="69">
        <f t="shared" si="13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10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4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5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5A86-658A-4DB8-9C64-EE53AA097DF1}">
  <sheetPr codeName="Лист36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7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7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ref="I8:I9" si="5">IFERROR(H8*G8,"")</f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ref="O8:O9" si="6">IFERROR(N8*G8,"")</f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5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6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7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8" si="8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9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10">ROUND($N21/(1-M21),2)</f>
        <v>0</v>
      </c>
      <c r="I21" s="311">
        <f t="shared" si="8"/>
        <v>0</v>
      </c>
      <c r="J21" s="416">
        <f>'Наценки-Скидки'!$I$5</f>
        <v>0</v>
      </c>
      <c r="K21" s="311">
        <f t="shared" ref="K21:K38" si="11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9"/>
        <v>0</v>
      </c>
      <c r="T21" s="45"/>
    </row>
    <row r="22" spans="2:20" s="42" customFormat="1">
      <c r="B22" s="69">
        <f t="shared" ref="B22:B47" si="12">B21+1</f>
        <v>3</v>
      </c>
      <c r="C22" s="102"/>
      <c r="D22" s="102"/>
      <c r="E22" s="101"/>
      <c r="F22" s="270" t="s">
        <v>60</v>
      </c>
      <c r="G22" s="99"/>
      <c r="H22" s="311">
        <f t="shared" si="10"/>
        <v>0</v>
      </c>
      <c r="I22" s="311">
        <f t="shared" si="8"/>
        <v>0</v>
      </c>
      <c r="J22" s="416">
        <f>'Наценки-Скидки'!$I$5</f>
        <v>0</v>
      </c>
      <c r="K22" s="311">
        <f t="shared" si="11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9"/>
        <v>0</v>
      </c>
      <c r="T22" s="45"/>
    </row>
    <row r="23" spans="2:20" s="42" customFormat="1">
      <c r="B23" s="69">
        <f t="shared" si="12"/>
        <v>4</v>
      </c>
      <c r="C23" s="102"/>
      <c r="D23" s="102"/>
      <c r="E23" s="101"/>
      <c r="F23" s="270" t="s">
        <v>60</v>
      </c>
      <c r="G23" s="99"/>
      <c r="H23" s="311">
        <f t="shared" si="10"/>
        <v>0</v>
      </c>
      <c r="I23" s="311">
        <f t="shared" si="8"/>
        <v>0</v>
      </c>
      <c r="J23" s="416">
        <f>'Наценки-Скидки'!$I$5</f>
        <v>0</v>
      </c>
      <c r="K23" s="311">
        <f t="shared" si="11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9"/>
        <v>0</v>
      </c>
      <c r="T23" s="45"/>
    </row>
    <row r="24" spans="2:20" s="42" customFormat="1">
      <c r="B24" s="69">
        <f t="shared" si="12"/>
        <v>5</v>
      </c>
      <c r="C24" s="102"/>
      <c r="D24" s="102"/>
      <c r="E24" s="101"/>
      <c r="F24" s="270" t="s">
        <v>60</v>
      </c>
      <c r="G24" s="99"/>
      <c r="H24" s="311">
        <f t="shared" si="10"/>
        <v>0</v>
      </c>
      <c r="I24" s="311">
        <f t="shared" si="8"/>
        <v>0</v>
      </c>
      <c r="J24" s="416">
        <f>'Наценки-Скидки'!$I$5</f>
        <v>0</v>
      </c>
      <c r="K24" s="311">
        <f t="shared" si="11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9"/>
        <v>0</v>
      </c>
      <c r="T24" s="45"/>
    </row>
    <row r="25" spans="2:20" s="42" customFormat="1">
      <c r="B25" s="69">
        <f t="shared" si="12"/>
        <v>6</v>
      </c>
      <c r="C25" s="102"/>
      <c r="D25" s="102"/>
      <c r="E25" s="101"/>
      <c r="F25" s="270" t="s">
        <v>60</v>
      </c>
      <c r="G25" s="99"/>
      <c r="H25" s="311">
        <f t="shared" si="10"/>
        <v>0</v>
      </c>
      <c r="I25" s="311">
        <f t="shared" si="8"/>
        <v>0</v>
      </c>
      <c r="J25" s="416">
        <f>'Наценки-Скидки'!$I$5</f>
        <v>0</v>
      </c>
      <c r="K25" s="311">
        <f t="shared" si="11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9"/>
        <v>0</v>
      </c>
      <c r="T25" s="45"/>
    </row>
    <row r="26" spans="2:20" s="42" customFormat="1">
      <c r="B26" s="69">
        <f t="shared" si="12"/>
        <v>7</v>
      </c>
      <c r="C26" s="102"/>
      <c r="D26" s="102"/>
      <c r="E26" s="101"/>
      <c r="F26" s="270" t="s">
        <v>60</v>
      </c>
      <c r="G26" s="99"/>
      <c r="H26" s="311">
        <f t="shared" si="10"/>
        <v>0</v>
      </c>
      <c r="I26" s="311">
        <f t="shared" si="8"/>
        <v>0</v>
      </c>
      <c r="J26" s="416">
        <f>'Наценки-Скидки'!$I$5</f>
        <v>0</v>
      </c>
      <c r="K26" s="311">
        <f t="shared" si="11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si="12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10"/>
        <v>0</v>
      </c>
      <c r="I28" s="311">
        <f t="shared" si="8"/>
        <v>0</v>
      </c>
      <c r="J28" s="416">
        <f>'Наценки-Скидки'!$I$5</f>
        <v>0</v>
      </c>
      <c r="K28" s="311">
        <f t="shared" si="11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9"/>
        <v>0</v>
      </c>
      <c r="T30" s="45"/>
    </row>
    <row r="31" spans="2:20" s="42" customFormat="1">
      <c r="B31" s="69">
        <f t="shared" si="12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3">ROUND($N39/(1-M39),2)</f>
        <v>0</v>
      </c>
      <c r="I39" s="311">
        <f t="shared" ref="I39" si="14">G39*H39</f>
        <v>0</v>
      </c>
      <c r="J39" s="416">
        <f>'Наценки-Скидки'!$I$5</f>
        <v>0</v>
      </c>
      <c r="K39" s="311">
        <f t="shared" ref="K39" si="15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s="42" customFormat="1">
      <c r="B45" s="69">
        <f t="shared" si="12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9"/>
        <v>0</v>
      </c>
      <c r="T45" s="45"/>
    </row>
    <row r="46" spans="2:20" s="42" customFormat="1">
      <c r="B46" s="69">
        <f t="shared" si="12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9"/>
        <v>0</v>
      </c>
      <c r="T46" s="45"/>
    </row>
    <row r="47" spans="2:20" s="42" customFormat="1">
      <c r="B47" s="69">
        <f t="shared" si="12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9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8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9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54E0C-D7F6-4705-A632-62965D5E34A2}">
  <sheetPr codeName="Лист39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51ACB-D6E1-40CE-BB9D-8DE89D852DD5}">
  <sheetPr codeName="Лист40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07AC0-80BE-40C3-A335-3CA50B533C6D}">
  <sheetPr codeName="Лист41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6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7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6DE51-91C6-4B6D-A953-C87AA24CFAE5}">
  <sheetPr codeName="Лист42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6D0AC-326B-45D2-AF4C-F169BCC5AF64}">
  <sheetPr codeName="Лист43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4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5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2AC56-1085-4A3C-AE77-754EB41A960B}">
  <sheetPr codeName="Лист44">
    <tabColor rgb="FFFFFF00"/>
  </sheetPr>
  <dimension ref="B1:T57"/>
  <sheetViews>
    <sheetView workbookViewId="0">
      <selection activeCell="K36" sqref="K36"/>
    </sheetView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38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39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2C41F-1A1D-472A-A3F9-CACBEFCFFC2B}">
  <sheetPr codeName="Лист45">
    <tabColor rgb="FFFFFF00"/>
  </sheetPr>
  <dimension ref="B1:T57"/>
  <sheetViews>
    <sheetView workbookViewId="0">
      <selection activeCell="G36" sqref="G36"/>
    </sheetView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9094-8A42-4A62-B22D-D22C25915764}">
  <sheetPr codeName="Лист37">
    <tabColor rgb="FFFFFF00"/>
  </sheetPr>
  <dimension ref="B1:T54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18" ht="16.5" thickBot="1">
      <c r="B1" s="493" t="s">
        <v>259</v>
      </c>
      <c r="C1" s="494"/>
      <c r="D1" s="494"/>
      <c r="E1" s="494"/>
      <c r="F1" s="494"/>
      <c r="G1" s="494"/>
      <c r="H1" s="313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18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18">
      <c r="B3" s="66">
        <f t="shared" ref="B3:B14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>
        <f>ROUNDUP(
(SUMIF('1'!$D$3:$D$100,D3,'1'!$G$3:$G$100)
+SUMIF('2'!$D$3:$D$100,D3,'2'!$G$3:$G$100)
+SUMIF('3'!$D$3:$D$100,D3,'3'!$G$3:$G$100)
+SUMIF('4'!$D$3:$D$100,D3,'4'!$G$3:$G$100)
+SUMIF('5'!$D$3:$D$100,D3,'5'!$G$3:$G$100)
+SUMIF('6'!$D$3:$D$100,D3,'6'!$G$3:$G$100)
+SUMIF('7'!$D$3:$D$100,D3,'7'!$G$3:$G$100)
+SUMIF('9'!$D$3:$D$100,D3,'9'!$G$3:$G$100)
+SUMIF('8'!$D$3:$D$100,D3,'8'!$G$3:$G$100)
+SUMIF('10'!$D$3:$D$100,D3,'10'!$G$3:$G$100)
+SUMIF('11'!$D$3:$D$100,D3,'11'!$G$3:$G$100)
+SUMIF('12'!$D$3:$D$100,D3,'12'!$G$3:$G$100)
+SUMIF('13'!$D$3:$D$100,D3,'13'!$G$3:$G$100)
+SUMIF('14'!$D$3:$D$100,D3,'14'!$G$3:$G$100)
+SUMIF('15'!$D$3:$D$100,D3,'15'!$G$3:$G$100)
+SUMIF('16'!$D$3:$D$100,D3,'16'!$G$3:$G$100)
+SUMIF('17'!$D$3:$D$100,D3,'17'!$G$3:$G$100)
)/10,0)</f>
        <v>0</v>
      </c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14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14" si="2">IFERROR(N3*G3,"")</f>
        <v/>
      </c>
      <c r="R3" s="2"/>
    </row>
    <row r="4" spans="2:18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>
        <f>ROUNDUP(
(SUMIF('1'!$D$3:$D$100,D4,'1'!$G$3:$G$100)
+SUMIF('2'!$D$3:$D$100,D4,'2'!$G$3:$G$100)
+SUMIF('3'!$D$3:$D$100,D4,'3'!$G$3:$G$100)
+SUMIF('4'!$D$3:$D$100,D4,'4'!$G$3:$G$100)
+SUMIF('5'!$D$3:$D$100,D4,'5'!$G$3:$G$100)
+SUMIF('6'!$D$3:$D$100,D4,'6'!$G$3:$G$100)
+SUMIF('7'!$D$3:$D$100,D4,'7'!$G$3:$G$100)
+SUMIF('9'!$D$3:$D$100,D4,'9'!$G$3:$G$100)
+SUMIF('8'!$D$3:$D$100,D4,'8'!$G$3:$G$100)
+SUMIF('10'!$D$3:$D$100,D4,'10'!$G$3:$G$100)
+SUMIF('11'!$D$3:$D$100,D4,'11'!$G$3:$G$100)
+SUMIF('12'!$D$3:$D$100,D4,'12'!$G$3:$G$100)
+SUMIF('13'!$D$3:$D$100,D4,'13'!$G$3:$G$100)
+SUMIF('14'!$D$3:$D$100,D4,'14'!$G$3:$G$100)
+SUMIF('15'!$D$3:$D$100,D4,'15'!$G$3:$G$100)
+SUMIF('16'!$D$3:$D$100,D4,'16'!$G$3:$G$100)
+SUMIF('17'!$D$3:$D$100,D4,'17'!$G$3:$G$100)
)/10,0)</f>
        <v>0</v>
      </c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7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18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>
        <f>ROUNDUP(
(SUMIF('1'!$D$3:$D$100,D5,'1'!$G$3:$G$100)
+SUMIF('2'!$D$3:$D$100,D5,'2'!$G$3:$G$100)
+SUMIF('3'!$D$3:$D$100,D5,'3'!$G$3:$G$100)
+SUMIF('4'!$D$3:$D$100,D5,'4'!$G$3:$G$100)
+SUMIF('5'!$D$3:$D$100,D5,'5'!$G$3:$G$100)
+SUMIF('6'!$D$3:$D$100,D5,'6'!$G$3:$G$100)
+SUMIF('7'!$D$3:$D$100,D5,'7'!$G$3:$G$100)
+SUMIF('9'!$D$3:$D$100,D5,'9'!$G$3:$G$100)
+SUMIF('8'!$D$3:$D$100,D5,'8'!$G$3:$G$100)
+SUMIF('10'!$D$3:$D$100,D5,'10'!$G$3:$G$100)
+SUMIF('11'!$D$3:$D$100,D5,'11'!$G$3:$G$100)
+SUMIF('12'!$D$3:$D$100,D5,'12'!$G$3:$G$100)
+SUMIF('13'!$D$3:$D$100,D5,'13'!$G$3:$G$100)
+SUMIF('14'!$D$3:$D$100,D5,'14'!$G$3:$G$100)
+SUMIF('15'!$D$3:$D$100,D5,'15'!$G$3:$G$100)
+SUMIF('16'!$D$3:$D$100,D5,'16'!$G$3:$G$100)
+SUMIF('17'!$D$3:$D$100,D5,'17'!$G$3:$G$100)
)/10,0)</f>
        <v>0</v>
      </c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18">
      <c r="B6" s="67">
        <f t="shared" si="0"/>
        <v>4</v>
      </c>
      <c r="C6" s="311" t="str">
        <f>IFERROR(INDEX(#REF!,MATCH(D6,#REF!,0)),"")</f>
        <v/>
      </c>
      <c r="D6" s="50"/>
      <c r="E6" s="311" t="s">
        <v>199</v>
      </c>
      <c r="F6" s="48" t="s">
        <v>60</v>
      </c>
      <c r="G6" s="92">
        <f>ROUNDUP(
(SUMIF('1'!$D$3:$D$100,D6,'1'!$G$3:$G$100)
+SUMIF('2'!$D$3:$D$100,D6,'2'!$G$3:$G$100)
+SUMIF('3'!$D$3:$D$100,D6,'3'!$G$3:$G$100)
+SUMIF('4'!$D$3:$D$100,D6,'4'!$G$3:$G$100)
+SUMIF('5'!$D$3:$D$100,D6,'5'!$G$3:$G$100)
+SUMIF('6'!$D$3:$D$100,D6,'6'!$G$3:$G$100)
+SUMIF('7'!$D$3:$D$100,D6,'7'!$G$3:$G$100)
+SUMIF('9'!$D$3:$D$100,D6,'9'!$G$3:$G$100)
+SUMIF('8'!$D$3:$D$100,D6,'8'!$G$3:$G$100)
+SUMIF('10'!$D$3:$D$100,D6,'10'!$G$3:$G$100)
+SUMIF('11'!$D$3:$D$100,D6,'11'!$G$3:$G$100)
+SUMIF('12'!$D$3:$D$100,D6,'12'!$G$3:$G$100)
+SUMIF('13'!$D$3:$D$100,D6,'13'!$G$3:$G$100)
+SUMIF('14'!$D$3:$D$100,D6,'14'!$G$3:$G$100)
+SUMIF('15'!$D$3:$D$100,D6,'15'!$G$3:$G$100)
+SUMIF('16'!$D$3:$D$100,D6,'16'!$G$3:$G$100)
+SUMIF('17'!$D$3:$D$100,D6,'17'!$G$3:$G$100)
)/10,0)</f>
        <v>0</v>
      </c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18">
      <c r="B7" s="67">
        <f t="shared" si="0"/>
        <v>5</v>
      </c>
      <c r="C7" s="311" t="str">
        <f>IFERROR(INDEX(#REF!,MATCH(D7,#REF!,0)),"")</f>
        <v/>
      </c>
      <c r="D7" s="50"/>
      <c r="E7" s="311" t="s">
        <v>199</v>
      </c>
      <c r="F7" s="48" t="s">
        <v>60</v>
      </c>
      <c r="G7" s="92">
        <f>ROUNDUP(
(SUMIF('1'!$D$3:$D$100,D7,'1'!$G$3:$G$100)
+SUMIF('2'!$D$3:$D$100,D7,'2'!$G$3:$G$100)
+SUMIF('3'!$D$3:$D$100,D7,'3'!$G$3:$G$100)
+SUMIF('4'!$D$3:$D$100,D7,'4'!$G$3:$G$100)
+SUMIF('5'!$D$3:$D$100,D7,'5'!$G$3:$G$100)
+SUMIF('6'!$D$3:$D$100,D7,'6'!$G$3:$G$100)
+SUMIF('7'!$D$3:$D$100,D7,'7'!$G$3:$G$100)
+SUMIF('9'!$D$3:$D$100,D7,'9'!$G$3:$G$100)
+SUMIF('8'!$D$3:$D$100,D7,'8'!$G$3:$G$100)
+SUMIF('10'!$D$3:$D$100,D7,'10'!$G$3:$G$100)
+SUMIF('11'!$D$3:$D$100,D7,'11'!$G$3:$G$100)
+SUMIF('12'!$D$3:$D$100,D7,'12'!$G$3:$G$100)
+SUMIF('13'!$D$3:$D$100,D7,'13'!$G$3:$G$100)
+SUMIF('14'!$D$3:$D$100,D7,'14'!$G$3:$G$100)
+SUMIF('15'!$D$3:$D$100,D7,'15'!$G$3:$G$100)
+SUMIF('16'!$D$3:$D$100,D7,'16'!$G$3:$G$100)
+SUMIF('17'!$D$3:$D$100,D7,'17'!$G$3:$G$100)
)/10,0)</f>
        <v>0</v>
      </c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18">
      <c r="B8" s="67">
        <f t="shared" si="0"/>
        <v>6</v>
      </c>
      <c r="C8" s="311" t="str">
        <f>IFERROR(INDEX(#REF!,MATCH(D8,#REF!,0)),"")</f>
        <v/>
      </c>
      <c r="D8" s="50"/>
      <c r="E8" s="311" t="s">
        <v>199</v>
      </c>
      <c r="F8" s="48" t="s">
        <v>60</v>
      </c>
      <c r="G8" s="92">
        <f>ROUNDUP(
(SUMIF('1'!$D$3:$D$100,D8,'1'!$G$3:$G$100)
+SUMIF('2'!$D$3:$D$100,D8,'2'!$G$3:$G$100)
+SUMIF('3'!$D$3:$D$100,D8,'3'!$G$3:$G$100)
+SUMIF('4'!$D$3:$D$100,D8,'4'!$G$3:$G$100)
+SUMIF('5'!$D$3:$D$100,D8,'5'!$G$3:$G$100)
+SUMIF('6'!$D$3:$D$100,D8,'6'!$G$3:$G$100)
+SUMIF('7'!$D$3:$D$100,D8,'7'!$G$3:$G$100)
+SUMIF('9'!$D$3:$D$100,D8,'9'!$G$3:$G$100)
+SUMIF('8'!$D$3:$D$100,D8,'8'!$G$3:$G$100)
+SUMIF('10'!$D$3:$D$100,D8,'10'!$G$3:$G$100)
+SUMIF('11'!$D$3:$D$100,D8,'11'!$G$3:$G$100)
+SUMIF('12'!$D$3:$D$100,D8,'12'!$G$3:$G$100)
+SUMIF('13'!$D$3:$D$100,D8,'13'!$G$3:$G$100)
+SUMIF('14'!$D$3:$D$100,D8,'14'!$G$3:$G$100)
+SUMIF('15'!$D$3:$D$100,D8,'15'!$G$3:$G$100)
+SUMIF('16'!$D$3:$D$100,D8,'16'!$G$3:$G$100)
+SUMIF('17'!$D$3:$D$100,D8,'17'!$G$3:$G$100)
)/10,0)</f>
        <v>0</v>
      </c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ref="K8:K14" si="4">IFERROR(I8*(1-J8),"")</f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18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>
        <f>ROUNDUP(
(SUMIF('1'!$D$3:$D$100,D9,'1'!$G$3:$G$100)
+SUMIF('2'!$D$3:$D$100,D9,'2'!$G$3:$G$100)
+SUMIF('3'!$D$3:$D$100,D9,'3'!$G$3:$G$100)
+SUMIF('4'!$D$3:$D$100,D9,'4'!$G$3:$G$100)
+SUMIF('5'!$D$3:$D$100,D9,'5'!$G$3:$G$100)
+SUMIF('6'!$D$3:$D$100,D9,'6'!$G$3:$G$100)
+SUMIF('7'!$D$3:$D$100,D9,'7'!$G$3:$G$100)
+SUMIF('9'!$D$3:$D$100,D9,'9'!$G$3:$G$100)
+SUMIF('8'!$D$3:$D$100,D9,'8'!$G$3:$G$100)
+SUMIF('10'!$D$3:$D$100,D9,'10'!$G$3:$G$100)
+SUMIF('11'!$D$3:$D$100,D9,'11'!$G$3:$G$100)
+SUMIF('12'!$D$3:$D$100,D9,'12'!$G$3:$G$100)
+SUMIF('13'!$D$3:$D$100,D9,'13'!$G$3:$G$100)
+SUMIF('14'!$D$3:$D$100,D9,'14'!$G$3:$G$100)
+SUMIF('15'!$D$3:$D$100,D9,'15'!$G$3:$G$100)
+SUMIF('16'!$D$3:$D$100,D9,'16'!$G$3:$G$100)
+SUMIF('17'!$D$3:$D$100,D9,'17'!$G$3:$G$100)
)/10,0)</f>
        <v>0</v>
      </c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18">
      <c r="B10" s="67">
        <f t="shared" si="0"/>
        <v>8</v>
      </c>
      <c r="C10" s="311" t="str">
        <f>IFERROR(INDEX(#REF!,MATCH(D10,#REF!,0)),"")</f>
        <v/>
      </c>
      <c r="D10" s="49"/>
      <c r="E10" s="311" t="s">
        <v>199</v>
      </c>
      <c r="F10" s="48" t="s">
        <v>60</v>
      </c>
      <c r="G10" s="92">
        <f>ROUNDUP(
(SUMIF('1'!$D$3:$D$100,D10,'1'!$G$3:$G$100)
+SUMIF('2'!$D$3:$D$100,D10,'2'!$G$3:$G$100)
+SUMIF('3'!$D$3:$D$100,D10,'3'!$G$3:$G$100)
+SUMIF('4'!$D$3:$D$100,D10,'4'!$G$3:$G$100)
+SUMIF('5'!$D$3:$D$100,D10,'5'!$G$3:$G$100)
+SUMIF('6'!$D$3:$D$100,D10,'6'!$G$3:$G$100)
+SUMIF('7'!$D$3:$D$100,D10,'7'!$G$3:$G$100)
+SUMIF('9'!$D$3:$D$100,D10,'9'!$G$3:$G$100)
+SUMIF('8'!$D$3:$D$100,D10,'8'!$G$3:$G$100)
+SUMIF('10'!$D$3:$D$100,D10,'10'!$G$3:$G$100)
+SUMIF('11'!$D$3:$D$100,D10,'11'!$G$3:$G$100)
+SUMIF('12'!$D$3:$D$100,D10,'12'!$G$3:$G$100)
+SUMIF('13'!$D$3:$D$100,D10,'13'!$G$3:$G$100)
+SUMIF('14'!$D$3:$D$100,D10,'14'!$G$3:$G$100)
+SUMIF('15'!$D$3:$D$100,D10,'15'!$G$3:$G$100)
+SUMIF('16'!$D$3:$D$100,D10,'16'!$G$3:$G$100)
+SUMIF('17'!$D$3:$D$100,D10,'17'!$G$3:$G$100)
)/10,0)</f>
        <v>0</v>
      </c>
      <c r="H10" s="311" t="str">
        <f>IFERROR(VLOOKUP(D10,#REF!,IF('Сводная спецификация'!$J$32="Конечный пользователь",6,IF('Сводная спецификация'!$J$32="Партнер",9,12)),FALSE),"")</f>
        <v/>
      </c>
      <c r="I10" s="311" t="str">
        <f t="shared" si="1"/>
        <v/>
      </c>
      <c r="J10" s="416">
        <f>'Наценки-Скидки'!$I$3</f>
        <v>0</v>
      </c>
      <c r="K10" s="405" t="str">
        <f t="shared" si="4"/>
        <v/>
      </c>
      <c r="M10" s="403">
        <v>0.45</v>
      </c>
      <c r="N10" s="311" t="str">
        <f>IFERROR(VLOOKUP(D10,#REF!,4,0),"")</f>
        <v/>
      </c>
      <c r="O10" s="405" t="str">
        <f t="shared" si="2"/>
        <v/>
      </c>
      <c r="R10" s="2"/>
    </row>
    <row r="11" spans="2:18">
      <c r="B11" s="67">
        <f t="shared" si="0"/>
        <v>9</v>
      </c>
      <c r="C11" s="311" t="str">
        <f>IFERROR(INDEX(#REF!,MATCH(D11,#REF!,0)),"")</f>
        <v/>
      </c>
      <c r="D11" s="49"/>
      <c r="E11" s="311" t="s">
        <v>199</v>
      </c>
      <c r="F11" s="48" t="s">
        <v>60</v>
      </c>
      <c r="G11" s="92">
        <f>ROUNDUP(
(SUMIF('1'!$D$3:$D$100,D11,'1'!$G$3:$G$100)
+SUMIF('2'!$D$3:$D$100,D11,'2'!$G$3:$G$100)
+SUMIF('3'!$D$3:$D$100,D11,'3'!$G$3:$G$100)
+SUMIF('4'!$D$3:$D$100,D11,'4'!$G$3:$G$100)
+SUMIF('5'!$D$3:$D$100,D11,'5'!$G$3:$G$100)
+SUMIF('6'!$D$3:$D$100,D11,'6'!$G$3:$G$100)
+SUMIF('7'!$D$3:$D$100,D11,'7'!$G$3:$G$100)
+SUMIF('9'!$D$3:$D$100,D11,'9'!$G$3:$G$100)
+SUMIF('8'!$D$3:$D$100,D11,'8'!$G$3:$G$100)
+SUMIF('10'!$D$3:$D$100,D11,'10'!$G$3:$G$100)
+SUMIF('11'!$D$3:$D$100,D11,'11'!$G$3:$G$100)
+SUMIF('12'!$D$3:$D$100,D11,'12'!$G$3:$G$100)
+SUMIF('13'!$D$3:$D$100,D11,'13'!$G$3:$G$100)
+SUMIF('14'!$D$3:$D$100,D11,'14'!$G$3:$G$100)
+SUMIF('15'!$D$3:$D$100,D11,'15'!$G$3:$G$100)
+SUMIF('16'!$D$3:$D$100,D11,'16'!$G$3:$G$100)
+SUMIF('17'!$D$3:$D$100,D11,'17'!$G$3:$G$100)
)/10,0)</f>
        <v>0</v>
      </c>
      <c r="H11" s="311" t="str">
        <f>IFERROR(VLOOKUP(D11,#REF!,IF('Сводная спецификация'!$J$32="Конечный пользователь",6,IF('Сводная спецификация'!$J$32="Партнер",9,12)),FALSE),"")</f>
        <v/>
      </c>
      <c r="I11" s="311" t="str">
        <f t="shared" si="1"/>
        <v/>
      </c>
      <c r="J11" s="416">
        <f>'Наценки-Скидки'!$I$3</f>
        <v>0</v>
      </c>
      <c r="K11" s="405" t="str">
        <f t="shared" si="4"/>
        <v/>
      </c>
      <c r="M11" s="403">
        <v>0.45</v>
      </c>
      <c r="N11" s="311" t="str">
        <f>IFERROR(VLOOKUP(D11,#REF!,4,0),"")</f>
        <v/>
      </c>
      <c r="O11" s="405" t="str">
        <f t="shared" si="2"/>
        <v/>
      </c>
      <c r="R11" s="2"/>
    </row>
    <row r="12" spans="2:18">
      <c r="B12" s="67">
        <f t="shared" si="0"/>
        <v>10</v>
      </c>
      <c r="C12" s="311" t="str">
        <f>IFERROR(INDEX(#REF!,MATCH(D12,#REF!,0)),"")</f>
        <v/>
      </c>
      <c r="D12" s="49"/>
      <c r="E12" s="311" t="s">
        <v>199</v>
      </c>
      <c r="F12" s="48" t="s">
        <v>60</v>
      </c>
      <c r="G12" s="92">
        <f>ROUNDUP(
(SUMIF('1'!$D$3:$D$100,D12,'1'!$G$3:$G$100)
+SUMIF('2'!$D$3:$D$100,D12,'2'!$G$3:$G$100)
+SUMIF('3'!$D$3:$D$100,D12,'3'!$G$3:$G$100)
+SUMIF('4'!$D$3:$D$100,D12,'4'!$G$3:$G$100)
+SUMIF('5'!$D$3:$D$100,D12,'5'!$G$3:$G$100)
+SUMIF('6'!$D$3:$D$100,D12,'6'!$G$3:$G$100)
+SUMIF('7'!$D$3:$D$100,D12,'7'!$G$3:$G$100)
+SUMIF('9'!$D$3:$D$100,D12,'9'!$G$3:$G$100)
+SUMIF('8'!$D$3:$D$100,D12,'8'!$G$3:$G$100)
+SUMIF('10'!$D$3:$D$100,D12,'10'!$G$3:$G$100)
+SUMIF('11'!$D$3:$D$100,D12,'11'!$G$3:$G$100)
+SUMIF('12'!$D$3:$D$100,D12,'12'!$G$3:$G$100)
+SUMIF('13'!$D$3:$D$100,D12,'13'!$G$3:$G$100)
+SUMIF('14'!$D$3:$D$100,D12,'14'!$G$3:$G$100)
+SUMIF('15'!$D$3:$D$100,D12,'15'!$G$3:$G$100)
+SUMIF('16'!$D$3:$D$100,D12,'16'!$G$3:$G$100)
+SUMIF('17'!$D$3:$D$100,D12,'17'!$G$3:$G$100)
)/10,0)</f>
        <v>0</v>
      </c>
      <c r="H12" s="311" t="str">
        <f>IFERROR(VLOOKUP(D12,#REF!,IF('Сводная спецификация'!$J$32="Конечный пользователь",6,IF('Сводная спецификация'!$J$32="Партнер",9,12)),FALSE),"")</f>
        <v/>
      </c>
      <c r="I12" s="311" t="str">
        <f t="shared" si="1"/>
        <v/>
      </c>
      <c r="J12" s="416">
        <f>'Наценки-Скидки'!$I$3</f>
        <v>0</v>
      </c>
      <c r="K12" s="405" t="str">
        <f t="shared" si="4"/>
        <v/>
      </c>
      <c r="M12" s="403">
        <v>0.45</v>
      </c>
      <c r="N12" s="311" t="str">
        <f>IFERROR(VLOOKUP(D12,#REF!,4,0),"")</f>
        <v/>
      </c>
      <c r="O12" s="405" t="str">
        <f t="shared" si="2"/>
        <v/>
      </c>
      <c r="R12" s="2"/>
    </row>
    <row r="13" spans="2:18">
      <c r="B13" s="67">
        <f t="shared" si="0"/>
        <v>11</v>
      </c>
      <c r="C13" s="311" t="str">
        <f>IFERROR(INDEX(#REF!,MATCH(D13,#REF!,0)),"")</f>
        <v/>
      </c>
      <c r="D13" s="49"/>
      <c r="E13" s="311" t="s">
        <v>199</v>
      </c>
      <c r="F13" s="48" t="s">
        <v>60</v>
      </c>
      <c r="G13" s="92">
        <f>ROUNDUP(
(SUMIF('1'!$D$3:$D$100,D13,'1'!$G$3:$G$100)
+SUMIF('2'!$D$3:$D$100,D13,'2'!$G$3:$G$100)
+SUMIF('3'!$D$3:$D$100,D13,'3'!$G$3:$G$100)
+SUMIF('4'!$D$3:$D$100,D13,'4'!$G$3:$G$100)
+SUMIF('5'!$D$3:$D$100,D13,'5'!$G$3:$G$100)
+SUMIF('6'!$D$3:$D$100,D13,'6'!$G$3:$G$100)
+SUMIF('7'!$D$3:$D$100,D13,'7'!$G$3:$G$100)
+SUMIF('9'!$D$3:$D$100,D13,'9'!$G$3:$G$100)
+SUMIF('8'!$D$3:$D$100,D13,'8'!$G$3:$G$100)
+SUMIF('10'!$D$3:$D$100,D13,'10'!$G$3:$G$100)
+SUMIF('11'!$D$3:$D$100,D13,'11'!$G$3:$G$100)
+SUMIF('12'!$D$3:$D$100,D13,'12'!$G$3:$G$100)
+SUMIF('13'!$D$3:$D$100,D13,'13'!$G$3:$G$100)
+SUMIF('14'!$D$3:$D$100,D13,'14'!$G$3:$G$100)
+SUMIF('15'!$D$3:$D$100,D13,'15'!$G$3:$G$100)
+SUMIF('16'!$D$3:$D$100,D13,'16'!$G$3:$G$100)
+SUMIF('17'!$D$3:$D$100,D13,'17'!$G$3:$G$100)
)/10,0)</f>
        <v>0</v>
      </c>
      <c r="H13" s="311" t="str">
        <f>IFERROR(VLOOKUP(D13,#REF!,IF('Сводная спецификация'!$J$32="Конечный пользователь",6,IF('Сводная спецификация'!$J$32="Партнер",9,12)),FALSE),"")</f>
        <v/>
      </c>
      <c r="I13" s="311" t="str">
        <f t="shared" si="1"/>
        <v/>
      </c>
      <c r="J13" s="416">
        <f>'Наценки-Скидки'!$I$3</f>
        <v>0</v>
      </c>
      <c r="K13" s="405" t="str">
        <f t="shared" si="4"/>
        <v/>
      </c>
      <c r="M13" s="403">
        <v>0.45</v>
      </c>
      <c r="N13" s="311" t="str">
        <f>IFERROR(VLOOKUP(D13,#REF!,4,0),"")</f>
        <v/>
      </c>
      <c r="O13" s="405" t="str">
        <f t="shared" si="2"/>
        <v/>
      </c>
      <c r="R13" s="2"/>
    </row>
    <row r="14" spans="2:18" ht="13.5" thickBot="1">
      <c r="B14" s="67">
        <f t="shared" si="0"/>
        <v>12</v>
      </c>
      <c r="C14" s="311" t="str">
        <f>IFERROR(INDEX(#REF!,MATCH(D14,#REF!,0)),"")</f>
        <v/>
      </c>
      <c r="D14" s="49"/>
      <c r="E14" s="311" t="s">
        <v>199</v>
      </c>
      <c r="F14" s="48" t="s">
        <v>60</v>
      </c>
      <c r="G14" s="92">
        <f>ROUNDUP(
(SUMIF('1'!$D$3:$D$100,D14,'1'!$G$3:$G$100)
+SUMIF('2'!$D$3:$D$100,D14,'2'!$G$3:$G$100)
+SUMIF('3'!$D$3:$D$100,D14,'3'!$G$3:$G$100)
+SUMIF('4'!$D$3:$D$100,D14,'4'!$G$3:$G$100)
+SUMIF('5'!$D$3:$D$100,D14,'5'!$G$3:$G$100)
+SUMIF('6'!$D$3:$D$100,D14,'6'!$G$3:$G$100)
+SUMIF('7'!$D$3:$D$100,D14,'7'!$G$3:$G$100)
+SUMIF('9'!$D$3:$D$100,D14,'9'!$G$3:$G$100)
+SUMIF('8'!$D$3:$D$100,D14,'8'!$G$3:$G$100)
+SUMIF('10'!$D$3:$D$100,D14,'10'!$G$3:$G$100)
+SUMIF('11'!$D$3:$D$100,D14,'11'!$G$3:$G$100)
+SUMIF('12'!$D$3:$D$100,D14,'12'!$G$3:$G$100)
+SUMIF('13'!$D$3:$D$100,D14,'13'!$G$3:$G$100)
+SUMIF('14'!$D$3:$D$100,D14,'14'!$G$3:$G$100)
+SUMIF('15'!$D$3:$D$100,D14,'15'!$G$3:$G$100)
+SUMIF('16'!$D$3:$D$100,D14,'16'!$G$3:$G$100)
+SUMIF('17'!$D$3:$D$100,D14,'17'!$G$3:$G$100)
)/10,0)</f>
        <v>0</v>
      </c>
      <c r="H14" s="311" t="str">
        <f>IFERROR(VLOOKUP(D14,#REF!,IF('Сводная спецификация'!$J$32="Конечный пользователь",6,IF('Сводная спецификация'!$J$32="Партнер",9,12)),FALSE),"")</f>
        <v/>
      </c>
      <c r="I14" s="311" t="str">
        <f t="shared" si="1"/>
        <v/>
      </c>
      <c r="J14" s="416">
        <f>'Наценки-Скидки'!$I$3</f>
        <v>0</v>
      </c>
      <c r="K14" s="405" t="str">
        <f t="shared" si="4"/>
        <v/>
      </c>
      <c r="M14" s="403">
        <v>0.45</v>
      </c>
      <c r="N14" s="311" t="str">
        <f>IFERROR(VLOOKUP(D14,#REF!,4,0),"")</f>
        <v/>
      </c>
      <c r="O14" s="405" t="str">
        <f t="shared" si="2"/>
        <v/>
      </c>
      <c r="R14" s="2"/>
    </row>
    <row r="15" spans="2:18" ht="16.5" thickBot="1">
      <c r="B15" s="522" t="s">
        <v>212</v>
      </c>
      <c r="C15" s="523"/>
      <c r="D15" s="523"/>
      <c r="E15" s="523"/>
      <c r="F15" s="523"/>
      <c r="G15" s="523"/>
      <c r="H15" s="523"/>
      <c r="I15" s="417">
        <f ca="1">SUM(I3:OFFSET(I15,-1,0))</f>
        <v>0</v>
      </c>
      <c r="J15" s="390"/>
      <c r="K15" s="417">
        <f ca="1">SUM(K3:OFFSET(K15,-1,0))</f>
        <v>0</v>
      </c>
      <c r="M15" s="388"/>
      <c r="N15" s="389"/>
      <c r="O15" s="315">
        <f ca="1">SUM(O3:OFFSET(O15,-1,0))</f>
        <v>0</v>
      </c>
      <c r="R15" s="2"/>
    </row>
    <row r="16" spans="2:18" ht="13.5" thickBot="1"/>
    <row r="17" spans="2:20" ht="16.5" thickBot="1">
      <c r="B17" s="501" t="s">
        <v>213</v>
      </c>
      <c r="C17" s="502"/>
      <c r="D17" s="502"/>
      <c r="E17" s="502"/>
      <c r="F17" s="502"/>
      <c r="G17" s="502"/>
      <c r="H17" s="502"/>
      <c r="I17" s="503"/>
      <c r="J17" s="392"/>
      <c r="K17" s="392"/>
      <c r="N17" s="391"/>
      <c r="O17" s="392"/>
    </row>
    <row r="18" spans="2:20" ht="21.75" customHeight="1" thickBot="1">
      <c r="B18" s="36" t="s">
        <v>54</v>
      </c>
      <c r="C18" s="27" t="s">
        <v>41</v>
      </c>
      <c r="D18" s="27" t="s">
        <v>38</v>
      </c>
      <c r="E18" s="36" t="s">
        <v>71</v>
      </c>
      <c r="F18" s="27" t="s">
        <v>97</v>
      </c>
      <c r="G18" s="30" t="s">
        <v>39</v>
      </c>
      <c r="H18" s="30" t="s">
        <v>265</v>
      </c>
      <c r="I18" s="36" t="s">
        <v>266</v>
      </c>
      <c r="J18" s="36" t="s">
        <v>262</v>
      </c>
      <c r="K18" s="36" t="s">
        <v>267</v>
      </c>
      <c r="N18" s="36" t="s">
        <v>240</v>
      </c>
      <c r="O18" s="30" t="s">
        <v>242</v>
      </c>
      <c r="R18" s="2"/>
      <c r="T18" s="28"/>
    </row>
    <row r="19" spans="2:20">
      <c r="B19" s="65">
        <v>1</v>
      </c>
      <c r="C19" s="102"/>
      <c r="D19" s="93"/>
      <c r="E19" s="100"/>
      <c r="F19" s="48" t="s">
        <v>60</v>
      </c>
      <c r="G19" s="92">
        <f>ROUNDUP(
(SUMIF('1'!$D$3:$D$100,D19,'1'!$G$3:$G$100)
+SUMIF('2'!$D$3:$D$100,D19,'2'!$G$3:$G$100)
+SUMIF('3'!$D$3:$D$100,D19,'3'!$G$3:$G$100)
+SUMIF('4'!$D$3:$D$100,D19,'4'!$G$3:$G$100)
+SUMIF('5'!$D$3:$D$100,D19,'5'!$G$3:$G$100)
+SUMIF('6'!$D$3:$D$100,D19,'6'!$G$3:$G$100)
+SUMIF('7'!$D$3:$D$100,D19,'7'!$G$3:$G$100)
+SUMIF('9'!$D$3:$D$100,D19,'9'!$G$3:$G$100)
+SUMIF('8'!$D$3:$D$100,D19,'8'!$G$3:$G$100)
+SUMIF('10'!$D$3:$D$100,D19,'10'!$G$3:$G$100)
+SUMIF('11'!$D$3:$D$100,D19,'11'!$G$3:$G$100)
+SUMIF('12'!$D$3:$D$100,D19,'12'!$G$3:$G$100)
+SUMIF('13'!$D$3:$D$100,D19,'13'!$G$3:$G$100)
+SUMIF('14'!$D$3:$D$100,D19,'14'!$G$3:$G$100)
+SUMIF('15'!$D$3:$D$100,D19,'15'!$G$3:$G$100)
+SUMIF('16'!$D$3:$D$100,D19,'16'!$G$3:$G$100)
+SUMIF('17'!$D$3:$D$100,D19,'17'!$G$3:$G$100)
)/10,0)</f>
        <v>0</v>
      </c>
      <c r="H19" s="418">
        <f>ROUND(,2)</f>
        <v>0</v>
      </c>
      <c r="I19" s="311">
        <f t="shared" ref="I19:I20" si="5">G19*H19</f>
        <v>0</v>
      </c>
      <c r="J19" s="416">
        <f>'Наценки-Скидки'!$I$4</f>
        <v>0</v>
      </c>
      <c r="K19" s="405">
        <f>IFERROR(I19*(1-J19),"")</f>
        <v>0</v>
      </c>
      <c r="N19" s="406"/>
      <c r="O19" s="404">
        <f t="shared" ref="O19:O20" si="6">$N19*$G19</f>
        <v>0</v>
      </c>
      <c r="R19" s="2"/>
      <c r="T19" s="28"/>
    </row>
    <row r="20" spans="2:20" s="42" customFormat="1">
      <c r="B20" s="69">
        <f>B19+1</f>
        <v>2</v>
      </c>
      <c r="C20" s="102"/>
      <c r="D20" s="102"/>
      <c r="E20" s="101"/>
      <c r="F20" s="48" t="s">
        <v>60</v>
      </c>
      <c r="G20" s="92">
        <f>ROUNDUP(
(SUMIF('1'!$D$3:$D$100,D20,'1'!$G$3:$G$100)
+SUMIF('2'!$D$3:$D$100,D20,'2'!$G$3:$G$100)
+SUMIF('3'!$D$3:$D$100,D20,'3'!$G$3:$G$100)
+SUMIF('4'!$D$3:$D$100,D20,'4'!$G$3:$G$100)
+SUMIF('5'!$D$3:$D$100,D20,'5'!$G$3:$G$100)
+SUMIF('6'!$D$3:$D$100,D20,'6'!$G$3:$G$100)
+SUMIF('7'!$D$3:$D$100,D20,'7'!$G$3:$G$100)
+SUMIF('9'!$D$3:$D$100,D20,'9'!$G$3:$G$100)
+SUMIF('8'!$D$3:$D$100,D20,'8'!$G$3:$G$100)
+SUMIF('10'!$D$3:$D$100,D20,'10'!$G$3:$G$100)
+SUMIF('11'!$D$3:$D$100,D20,'11'!$G$3:$G$100)
+SUMIF('12'!$D$3:$D$100,D20,'12'!$G$3:$G$100)
+SUMIF('13'!$D$3:$D$100,D20,'13'!$G$3:$G$100)
+SUMIF('14'!$D$3:$D$100,D20,'14'!$G$3:$G$100)
+SUMIF('15'!$D$3:$D$100,D20,'15'!$G$3:$G$100)
+SUMIF('16'!$D$3:$D$100,D20,'16'!$G$3:$G$100)
+SUMIF('17'!$D$3:$D$100,D20,'17'!$G$3:$G$100)
)/10,0)</f>
        <v>0</v>
      </c>
      <c r="H20" s="418">
        <f>ROUND(,2)</f>
        <v>0</v>
      </c>
      <c r="I20" s="311">
        <f t="shared" si="5"/>
        <v>0</v>
      </c>
      <c r="J20" s="416">
        <f>'Наценки-Скидки'!$I$4</f>
        <v>0</v>
      </c>
      <c r="K20" s="405">
        <f t="shared" ref="K20" si="7">IFERROR(I20*(1-J20),"")</f>
        <v>0</v>
      </c>
      <c r="N20" s="406"/>
      <c r="O20" s="404">
        <f t="shared" si="6"/>
        <v>0</v>
      </c>
      <c r="T20" s="45"/>
    </row>
    <row r="21" spans="2:20" ht="16.5" thickBot="1">
      <c r="B21" s="504" t="s">
        <v>211</v>
      </c>
      <c r="C21" s="505"/>
      <c r="D21" s="505"/>
      <c r="E21" s="505"/>
      <c r="F21" s="505"/>
      <c r="G21" s="505"/>
      <c r="H21" s="506"/>
      <c r="I21" s="316">
        <f ca="1">SUM(I19:OFFSET(I21,-1,0))</f>
        <v>0</v>
      </c>
      <c r="J21" s="316">
        <f ca="1">SUM(J19:OFFSET(J21,-1,0))</f>
        <v>0</v>
      </c>
      <c r="K21" s="407">
        <f ca="1">SUM(K19:OFFSET(K21,-1,0))</f>
        <v>0</v>
      </c>
      <c r="N21" s="393"/>
      <c r="O21" s="407">
        <f ca="1">SUM(O19:OFFSET(O21,-1,0))</f>
        <v>0</v>
      </c>
      <c r="R21" s="2"/>
      <c r="T21" s="28"/>
    </row>
    <row r="22" spans="2:20" ht="13.5" thickBot="1"/>
    <row r="23" spans="2:20" ht="16.5" thickBot="1">
      <c r="B23" s="507" t="s">
        <v>214</v>
      </c>
      <c r="C23" s="508"/>
      <c r="D23" s="508"/>
      <c r="E23" s="508"/>
      <c r="F23" s="508"/>
      <c r="G23" s="508"/>
      <c r="H23" s="508"/>
      <c r="I23" s="509"/>
      <c r="J23" s="396"/>
      <c r="K23" s="396"/>
      <c r="M23" s="394"/>
      <c r="N23" s="395"/>
      <c r="O23" s="396"/>
    </row>
    <row r="24" spans="2:20" ht="39" thickBot="1">
      <c r="B24" s="36" t="s">
        <v>54</v>
      </c>
      <c r="C24" s="27" t="s">
        <v>41</v>
      </c>
      <c r="D24" s="27" t="s">
        <v>38</v>
      </c>
      <c r="E24" s="36" t="s">
        <v>71</v>
      </c>
      <c r="F24" s="27" t="s">
        <v>97</v>
      </c>
      <c r="G24" s="30" t="s">
        <v>39</v>
      </c>
      <c r="H24" s="30" t="s">
        <v>241</v>
      </c>
      <c r="I24" s="36" t="s">
        <v>243</v>
      </c>
      <c r="J24" s="36" t="s">
        <v>262</v>
      </c>
      <c r="K24" s="36" t="s">
        <v>264</v>
      </c>
      <c r="M24" s="36" t="s">
        <v>269</v>
      </c>
      <c r="N24" s="36" t="s">
        <v>240</v>
      </c>
      <c r="O24" s="30" t="s">
        <v>242</v>
      </c>
      <c r="R24" s="2"/>
      <c r="T24" s="28"/>
    </row>
    <row r="25" spans="2:20">
      <c r="B25" s="65">
        <v>1</v>
      </c>
      <c r="C25" s="102"/>
      <c r="D25" s="93"/>
      <c r="E25" s="100"/>
      <c r="F25" s="270" t="s">
        <v>60</v>
      </c>
      <c r="G25" s="92">
        <f>ROUNDUP(
(SUMIF('1'!$D$3:$D$100,D25,'1'!$G$3:$G$100)
+SUMIF('2'!$D$3:$D$100,D25,'2'!$G$3:$G$100)
+SUMIF('3'!$D$3:$D$100,D25,'3'!$G$3:$G$100)
+SUMIF('4'!$D$3:$D$100,D25,'4'!$G$3:$G$100)
+SUMIF('5'!$D$3:$D$100,D25,'5'!$G$3:$G$100)
+SUMIF('6'!$D$3:$D$100,D25,'6'!$G$3:$G$100)
+SUMIF('7'!$D$3:$D$100,D25,'7'!$G$3:$G$100)
+SUMIF('9'!$D$3:$D$100,D25,'9'!$G$3:$G$100)
+SUMIF('8'!$D$3:$D$100,D25,'8'!$G$3:$G$100)
+SUMIF('10'!$D$3:$D$100,D25,'10'!$G$3:$G$100)
+SUMIF('11'!$D$3:$D$100,D25,'11'!$G$3:$G$100)
+SUMIF('12'!$D$3:$D$100,D25,'12'!$G$3:$G$100)
+SUMIF('13'!$D$3:$D$100,D25,'13'!$G$3:$G$100)
+SUMIF('14'!$D$3:$D$100,D25,'14'!$G$3:$G$100)
+SUMIF('15'!$D$3:$D$100,D25,'15'!$G$3:$G$100)
+SUMIF('16'!$D$3:$D$100,D25,'16'!$G$3:$G$100)
+SUMIF('17'!$D$3:$D$100,D25,'17'!$G$3:$G$100)
)/10,0)</f>
        <v>0</v>
      </c>
      <c r="H25" s="311">
        <f>ROUND($N25/(1-M25),2)</f>
        <v>0</v>
      </c>
      <c r="I25" s="311">
        <f t="shared" ref="I25:I44" si="8">G25*H25</f>
        <v>0</v>
      </c>
      <c r="J25" s="416">
        <f>'Наценки-Скидки'!$I$5</f>
        <v>0</v>
      </c>
      <c r="K25" s="311">
        <f>IFERROR(I25*(1-J25),"")</f>
        <v>0</v>
      </c>
      <c r="M25" s="408">
        <f>'Наценки-Скидки'!$F$3+'Наценки-Скидки'!$F$4+'Наценки-Скидки'!$F$5</f>
        <v>0.35</v>
      </c>
      <c r="N25" s="357"/>
      <c r="O25" s="404">
        <f t="shared" ref="O25:O44" si="9">$N25*$G25</f>
        <v>0</v>
      </c>
      <c r="R25" s="2"/>
      <c r="T25" s="28"/>
    </row>
    <row r="26" spans="2:20" s="42" customFormat="1">
      <c r="B26" s="69">
        <f>B25+1</f>
        <v>2</v>
      </c>
      <c r="C26" s="102"/>
      <c r="D26" s="102"/>
      <c r="E26" s="101"/>
      <c r="F26" s="270" t="s">
        <v>60</v>
      </c>
      <c r="G26" s="92">
        <f>ROUNDUP(
(SUMIF('1'!$D$3:$D$100,D26,'1'!$G$3:$G$100)
+SUMIF('2'!$D$3:$D$100,D26,'2'!$G$3:$G$100)
+SUMIF('3'!$D$3:$D$100,D26,'3'!$G$3:$G$100)
+SUMIF('4'!$D$3:$D$100,D26,'4'!$G$3:$G$100)
+SUMIF('5'!$D$3:$D$100,D26,'5'!$G$3:$G$100)
+SUMIF('6'!$D$3:$D$100,D26,'6'!$G$3:$G$100)
+SUMIF('7'!$D$3:$D$100,D26,'7'!$G$3:$G$100)
+SUMIF('9'!$D$3:$D$100,D26,'9'!$G$3:$G$100)
+SUMIF('8'!$D$3:$D$100,D26,'8'!$G$3:$G$100)
+SUMIF('10'!$D$3:$D$100,D26,'10'!$G$3:$G$100)
+SUMIF('11'!$D$3:$D$100,D26,'11'!$G$3:$G$100)
+SUMIF('12'!$D$3:$D$100,D26,'12'!$G$3:$G$100)
+SUMIF('13'!$D$3:$D$100,D26,'13'!$G$3:$G$100)
+SUMIF('14'!$D$3:$D$100,D26,'14'!$G$3:$G$100)
+SUMIF('15'!$D$3:$D$100,D26,'15'!$G$3:$G$100)
+SUMIF('16'!$D$3:$D$100,D26,'16'!$G$3:$G$100)
+SUMIF('17'!$D$3:$D$100,D26,'17'!$G$3:$G$100)
)/10,0)</f>
        <v>0</v>
      </c>
      <c r="H26" s="311">
        <f t="shared" ref="H26:H43" si="10">ROUND($N26/(1-M26),2)</f>
        <v>0</v>
      </c>
      <c r="I26" s="311">
        <f t="shared" si="8"/>
        <v>0</v>
      </c>
      <c r="J26" s="416">
        <f>'Наценки-Скидки'!$I$5</f>
        <v>0</v>
      </c>
      <c r="K26" s="311">
        <f t="shared" ref="K26:K43" si="11">IFERROR(I26*(1-J26),"")</f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ref="B27:B44" si="12">B26+1</f>
        <v>3</v>
      </c>
      <c r="C27" s="102"/>
      <c r="D27" s="102"/>
      <c r="E27" s="101"/>
      <c r="F27" s="270" t="s">
        <v>60</v>
      </c>
      <c r="G27" s="92">
        <f>ROUNDUP(
(SUMIF('1'!$D$3:$D$100,D27,'1'!$G$3:$G$100)
+SUMIF('2'!$D$3:$D$100,D27,'2'!$G$3:$G$100)
+SUMIF('3'!$D$3:$D$100,D27,'3'!$G$3:$G$100)
+SUMIF('4'!$D$3:$D$100,D27,'4'!$G$3:$G$100)
+SUMIF('5'!$D$3:$D$100,D27,'5'!$G$3:$G$100)
+SUMIF('6'!$D$3:$D$100,D27,'6'!$G$3:$G$100)
+SUMIF('7'!$D$3:$D$100,D27,'7'!$G$3:$G$100)
+SUMIF('9'!$D$3:$D$100,D27,'9'!$G$3:$G$100)
+SUMIF('8'!$D$3:$D$100,D27,'8'!$G$3:$G$100)
+SUMIF('10'!$D$3:$D$100,D27,'10'!$G$3:$G$100)
+SUMIF('11'!$D$3:$D$100,D27,'11'!$G$3:$G$100)
+SUMIF('12'!$D$3:$D$100,D27,'12'!$G$3:$G$100)
+SUMIF('13'!$D$3:$D$100,D27,'13'!$G$3:$G$100)
+SUMIF('14'!$D$3:$D$100,D27,'14'!$G$3:$G$100)
+SUMIF('15'!$D$3:$D$100,D27,'15'!$G$3:$G$100)
+SUMIF('16'!$D$3:$D$100,D27,'16'!$G$3:$G$100)
+SUMIF('17'!$D$3:$D$100,D27,'17'!$G$3:$G$100)
)/10,0)</f>
        <v>0</v>
      </c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4</v>
      </c>
      <c r="C28" s="102"/>
      <c r="D28" s="102"/>
      <c r="E28" s="101"/>
      <c r="F28" s="270" t="s">
        <v>60</v>
      </c>
      <c r="G28" s="92">
        <f>ROUNDUP(
(SUMIF('1'!$D$3:$D$100,D28,'1'!$G$3:$G$100)
+SUMIF('2'!$D$3:$D$100,D28,'2'!$G$3:$G$100)
+SUMIF('3'!$D$3:$D$100,D28,'3'!$G$3:$G$100)
+SUMIF('4'!$D$3:$D$100,D28,'4'!$G$3:$G$100)
+SUMIF('5'!$D$3:$D$100,D28,'5'!$G$3:$G$100)
+SUMIF('6'!$D$3:$D$100,D28,'6'!$G$3:$G$100)
+SUMIF('7'!$D$3:$D$100,D28,'7'!$G$3:$G$100)
+SUMIF('9'!$D$3:$D$100,D28,'9'!$G$3:$G$100)
+SUMIF('8'!$D$3:$D$100,D28,'8'!$G$3:$G$100)
+SUMIF('10'!$D$3:$D$100,D28,'10'!$G$3:$G$100)
+SUMIF('11'!$D$3:$D$100,D28,'11'!$G$3:$G$100)
+SUMIF('12'!$D$3:$D$100,D28,'12'!$G$3:$G$100)
+SUMIF('13'!$D$3:$D$100,D28,'13'!$G$3:$G$100)
+SUMIF('14'!$D$3:$D$100,D28,'14'!$G$3:$G$100)
+SUMIF('15'!$D$3:$D$100,D28,'15'!$G$3:$G$100)
+SUMIF('16'!$D$3:$D$100,D28,'16'!$G$3:$G$100)
+SUMIF('17'!$D$3:$D$100,D28,'17'!$G$3:$G$100)
)/10,0)</f>
        <v>0</v>
      </c>
      <c r="H28" s="311">
        <f t="shared" si="10"/>
        <v>0</v>
      </c>
      <c r="I28" s="311">
        <f t="shared" si="8"/>
        <v>0</v>
      </c>
      <c r="J28" s="416">
        <f>'Наценки-Скидки'!$I$5</f>
        <v>0</v>
      </c>
      <c r="K28" s="311">
        <f t="shared" si="11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5</v>
      </c>
      <c r="C29" s="102"/>
      <c r="D29" s="102"/>
      <c r="E29" s="101"/>
      <c r="F29" s="270" t="s">
        <v>60</v>
      </c>
      <c r="G29" s="92">
        <f>ROUNDUP(
(SUMIF('1'!$D$3:$D$100,D29,'1'!$G$3:$G$100)
+SUMIF('2'!$D$3:$D$100,D29,'2'!$G$3:$G$100)
+SUMIF('3'!$D$3:$D$100,D29,'3'!$G$3:$G$100)
+SUMIF('4'!$D$3:$D$100,D29,'4'!$G$3:$G$100)
+SUMIF('5'!$D$3:$D$100,D29,'5'!$G$3:$G$100)
+SUMIF('6'!$D$3:$D$100,D29,'6'!$G$3:$G$100)
+SUMIF('7'!$D$3:$D$100,D29,'7'!$G$3:$G$100)
+SUMIF('9'!$D$3:$D$100,D29,'9'!$G$3:$G$100)
+SUMIF('8'!$D$3:$D$100,D29,'8'!$G$3:$G$100)
+SUMIF('10'!$D$3:$D$100,D29,'10'!$G$3:$G$100)
+SUMIF('11'!$D$3:$D$100,D29,'11'!$G$3:$G$100)
+SUMIF('12'!$D$3:$D$100,D29,'12'!$G$3:$G$100)
+SUMIF('13'!$D$3:$D$100,D29,'13'!$G$3:$G$100)
+SUMIF('14'!$D$3:$D$100,D29,'14'!$G$3:$G$100)
+SUMIF('15'!$D$3:$D$100,D29,'15'!$G$3:$G$100)
+SUMIF('16'!$D$3:$D$100,D29,'16'!$G$3:$G$100)
+SUMIF('17'!$D$3:$D$100,D29,'17'!$G$3:$G$100)
)/10,0)</f>
        <v>0</v>
      </c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6</v>
      </c>
      <c r="C30" s="101"/>
      <c r="D30" s="102"/>
      <c r="E30" s="101"/>
      <c r="F30" s="270" t="s">
        <v>60</v>
      </c>
      <c r="G30" s="92">
        <f>ROUNDUP(
(SUMIF('1'!$D$3:$D$100,D30,'1'!$G$3:$G$100)
+SUMIF('2'!$D$3:$D$100,D30,'2'!$G$3:$G$100)
+SUMIF('3'!$D$3:$D$100,D30,'3'!$G$3:$G$100)
+SUMIF('4'!$D$3:$D$100,D30,'4'!$G$3:$G$100)
+SUMIF('5'!$D$3:$D$100,D30,'5'!$G$3:$G$100)
+SUMIF('6'!$D$3:$D$100,D30,'6'!$G$3:$G$100)
+SUMIF('7'!$D$3:$D$100,D30,'7'!$G$3:$G$100)
+SUMIF('9'!$D$3:$D$100,D30,'9'!$G$3:$G$100)
+SUMIF('8'!$D$3:$D$100,D30,'8'!$G$3:$G$100)
+SUMIF('10'!$D$3:$D$100,D30,'10'!$G$3:$G$100)
+SUMIF('11'!$D$3:$D$100,D30,'11'!$G$3:$G$100)
+SUMIF('12'!$D$3:$D$100,D30,'12'!$G$3:$G$100)
+SUMIF('13'!$D$3:$D$100,D30,'13'!$G$3:$G$100)
+SUMIF('14'!$D$3:$D$100,D30,'14'!$G$3:$G$100)
+SUMIF('15'!$D$3:$D$100,D30,'15'!$G$3:$G$100)
+SUMIF('16'!$D$3:$D$100,D30,'16'!$G$3:$G$100)
+SUMIF('17'!$D$3:$D$100,D30,'17'!$G$3:$G$100)
)/10,0)</f>
        <v>0</v>
      </c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5">
        <f t="shared" si="9"/>
        <v>0</v>
      </c>
      <c r="T30" s="45"/>
    </row>
    <row r="31" spans="2:20" s="42" customFormat="1">
      <c r="B31" s="69">
        <f t="shared" si="12"/>
        <v>7</v>
      </c>
      <c r="C31" s="101"/>
      <c r="D31" s="102"/>
      <c r="E31" s="101"/>
      <c r="F31" s="270" t="s">
        <v>60</v>
      </c>
      <c r="G31" s="92">
        <f>ROUNDUP(
(SUMIF('1'!$D$3:$D$100,D31,'1'!$G$3:$G$100)
+SUMIF('2'!$D$3:$D$100,D31,'2'!$G$3:$G$100)
+SUMIF('3'!$D$3:$D$100,D31,'3'!$G$3:$G$100)
+SUMIF('4'!$D$3:$D$100,D31,'4'!$G$3:$G$100)
+SUMIF('5'!$D$3:$D$100,D31,'5'!$G$3:$G$100)
+SUMIF('6'!$D$3:$D$100,D31,'6'!$G$3:$G$100)
+SUMIF('7'!$D$3:$D$100,D31,'7'!$G$3:$G$100)
+SUMIF('9'!$D$3:$D$100,D31,'9'!$G$3:$G$100)
+SUMIF('8'!$D$3:$D$100,D31,'8'!$G$3:$G$100)
+SUMIF('10'!$D$3:$D$100,D31,'10'!$G$3:$G$100)
+SUMIF('11'!$D$3:$D$100,D31,'11'!$G$3:$G$100)
+SUMIF('12'!$D$3:$D$100,D31,'12'!$G$3:$G$100)
+SUMIF('13'!$D$3:$D$100,D31,'13'!$G$3:$G$100)
+SUMIF('14'!$D$3:$D$100,D31,'14'!$G$3:$G$100)
+SUMIF('15'!$D$3:$D$100,D31,'15'!$G$3:$G$100)
+SUMIF('16'!$D$3:$D$100,D31,'16'!$G$3:$G$100)
+SUMIF('17'!$D$3:$D$100,D31,'17'!$G$3:$G$100)
)/10,0)</f>
        <v>0</v>
      </c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8</v>
      </c>
      <c r="C32" s="102"/>
      <c r="D32" s="102"/>
      <c r="E32" s="94"/>
      <c r="F32" s="270" t="s">
        <v>60</v>
      </c>
      <c r="G32" s="92">
        <f>ROUNDUP(
(SUMIF('1'!$D$3:$D$100,D32,'1'!$G$3:$G$100)
+SUMIF('2'!$D$3:$D$100,D32,'2'!$G$3:$G$100)
+SUMIF('3'!$D$3:$D$100,D32,'3'!$G$3:$G$100)
+SUMIF('4'!$D$3:$D$100,D32,'4'!$G$3:$G$100)
+SUMIF('5'!$D$3:$D$100,D32,'5'!$G$3:$G$100)
+SUMIF('6'!$D$3:$D$100,D32,'6'!$G$3:$G$100)
+SUMIF('7'!$D$3:$D$100,D32,'7'!$G$3:$G$100)
+SUMIF('9'!$D$3:$D$100,D32,'9'!$G$3:$G$100)
+SUMIF('8'!$D$3:$D$100,D32,'8'!$G$3:$G$100)
+SUMIF('10'!$D$3:$D$100,D32,'10'!$G$3:$G$100)
+SUMIF('11'!$D$3:$D$100,D32,'11'!$G$3:$G$100)
+SUMIF('12'!$D$3:$D$100,D32,'12'!$G$3:$G$100)
+SUMIF('13'!$D$3:$D$100,D32,'13'!$G$3:$G$100)
+SUMIF('14'!$D$3:$D$100,D32,'14'!$G$3:$G$100)
+SUMIF('15'!$D$3:$D$100,D32,'15'!$G$3:$G$100)
+SUMIF('16'!$D$3:$D$100,D32,'16'!$G$3:$G$100)
+SUMIF('17'!$D$3:$D$100,D32,'17'!$G$3:$G$100)
)/10,0)</f>
        <v>0</v>
      </c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9</v>
      </c>
      <c r="C33" s="102"/>
      <c r="D33" s="102"/>
      <c r="E33" s="94"/>
      <c r="F33" s="270" t="s">
        <v>60</v>
      </c>
      <c r="G33" s="92">
        <f>ROUNDUP(
(SUMIF('1'!$D$3:$D$100,D33,'1'!$G$3:$G$100)
+SUMIF('2'!$D$3:$D$100,D33,'2'!$G$3:$G$100)
+SUMIF('3'!$D$3:$D$100,D33,'3'!$G$3:$G$100)
+SUMIF('4'!$D$3:$D$100,D33,'4'!$G$3:$G$100)
+SUMIF('5'!$D$3:$D$100,D33,'5'!$G$3:$G$100)
+SUMIF('6'!$D$3:$D$100,D33,'6'!$G$3:$G$100)
+SUMIF('7'!$D$3:$D$100,D33,'7'!$G$3:$G$100)
+SUMIF('9'!$D$3:$D$100,D33,'9'!$G$3:$G$100)
+SUMIF('8'!$D$3:$D$100,D33,'8'!$G$3:$G$100)
+SUMIF('10'!$D$3:$D$100,D33,'10'!$G$3:$G$100)
+SUMIF('11'!$D$3:$D$100,D33,'11'!$G$3:$G$100)
+SUMIF('12'!$D$3:$D$100,D33,'12'!$G$3:$G$100)
+SUMIF('13'!$D$3:$D$100,D33,'13'!$G$3:$G$100)
+SUMIF('14'!$D$3:$D$100,D33,'14'!$G$3:$G$100)
+SUMIF('15'!$D$3:$D$100,D33,'15'!$G$3:$G$100)
+SUMIF('16'!$D$3:$D$100,D33,'16'!$G$3:$G$100)
+SUMIF('17'!$D$3:$D$100,D33,'17'!$G$3:$G$100)
)/10,0)</f>
        <v>0</v>
      </c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10</v>
      </c>
      <c r="C34" s="102"/>
      <c r="D34" s="102"/>
      <c r="E34" s="94" t="s">
        <v>198</v>
      </c>
      <c r="F34" s="270" t="s">
        <v>60</v>
      </c>
      <c r="G34" s="92">
        <f>ROUNDUP(
(SUMIF('1'!$D$3:$D$100,D34,'1'!$G$3:$G$100)
+SUMIF('2'!$D$3:$D$100,D34,'2'!$G$3:$G$100)
+SUMIF('3'!$D$3:$D$100,D34,'3'!$G$3:$G$100)
+SUMIF('4'!$D$3:$D$100,D34,'4'!$G$3:$G$100)
+SUMIF('5'!$D$3:$D$100,D34,'5'!$G$3:$G$100)
+SUMIF('6'!$D$3:$D$100,D34,'6'!$G$3:$G$100)
+SUMIF('7'!$D$3:$D$100,D34,'7'!$G$3:$G$100)
+SUMIF('9'!$D$3:$D$100,D34,'9'!$G$3:$G$100)
+SUMIF('8'!$D$3:$D$100,D34,'8'!$G$3:$G$100)
+SUMIF('10'!$D$3:$D$100,D34,'10'!$G$3:$G$100)
+SUMIF('11'!$D$3:$D$100,D34,'11'!$G$3:$G$100)
+SUMIF('12'!$D$3:$D$100,D34,'12'!$G$3:$G$100)
+SUMIF('13'!$D$3:$D$100,D34,'13'!$G$3:$G$100)
+SUMIF('14'!$D$3:$D$100,D34,'14'!$G$3:$G$100)
+SUMIF('15'!$D$3:$D$100,D34,'15'!$G$3:$G$100)
+SUMIF('16'!$D$3:$D$100,D34,'16'!$G$3:$G$100)
+SUMIF('17'!$D$3:$D$100,D34,'17'!$G$3:$G$100)
)/10,0)</f>
        <v>0</v>
      </c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11</v>
      </c>
      <c r="C35" s="102"/>
      <c r="D35" s="102"/>
      <c r="E35" s="94" t="s">
        <v>198</v>
      </c>
      <c r="F35" s="270" t="s">
        <v>60</v>
      </c>
      <c r="G35" s="92">
        <f>ROUNDUP(
(SUMIF('1'!$D$3:$D$100,D35,'1'!$G$3:$G$100)
+SUMIF('2'!$D$3:$D$100,D35,'2'!$G$3:$G$100)
+SUMIF('3'!$D$3:$D$100,D35,'3'!$G$3:$G$100)
+SUMIF('4'!$D$3:$D$100,D35,'4'!$G$3:$G$100)
+SUMIF('5'!$D$3:$D$100,D35,'5'!$G$3:$G$100)
+SUMIF('6'!$D$3:$D$100,D35,'6'!$G$3:$G$100)
+SUMIF('7'!$D$3:$D$100,D35,'7'!$G$3:$G$100)
+SUMIF('9'!$D$3:$D$100,D35,'9'!$G$3:$G$100)
+SUMIF('8'!$D$3:$D$100,D35,'8'!$G$3:$G$100)
+SUMIF('10'!$D$3:$D$100,D35,'10'!$G$3:$G$100)
+SUMIF('11'!$D$3:$D$100,D35,'11'!$G$3:$G$100)
+SUMIF('12'!$D$3:$D$100,D35,'12'!$G$3:$G$100)
+SUMIF('13'!$D$3:$D$100,D35,'13'!$G$3:$G$100)
+SUMIF('14'!$D$3:$D$100,D35,'14'!$G$3:$G$100)
+SUMIF('15'!$D$3:$D$100,D35,'15'!$G$3:$G$100)
+SUMIF('16'!$D$3:$D$100,D35,'16'!$G$3:$G$100)
+SUMIF('17'!$D$3:$D$100,D35,'17'!$G$3:$G$100)
)/10,0)</f>
        <v>0</v>
      </c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12</v>
      </c>
      <c r="C36" s="102"/>
      <c r="D36" s="102"/>
      <c r="E36" s="94" t="s">
        <v>198</v>
      </c>
      <c r="F36" s="270" t="s">
        <v>60</v>
      </c>
      <c r="G36" s="92">
        <f>ROUNDUP(
(SUMIF('1'!$D$3:$D$100,D36,'1'!$G$3:$G$100)
+SUMIF('2'!$D$3:$D$100,D36,'2'!$G$3:$G$100)
+SUMIF('3'!$D$3:$D$100,D36,'3'!$G$3:$G$100)
+SUMIF('4'!$D$3:$D$100,D36,'4'!$G$3:$G$100)
+SUMIF('5'!$D$3:$D$100,D36,'5'!$G$3:$G$100)
+SUMIF('6'!$D$3:$D$100,D36,'6'!$G$3:$G$100)
+SUMIF('7'!$D$3:$D$100,D36,'7'!$G$3:$G$100)
+SUMIF('9'!$D$3:$D$100,D36,'9'!$G$3:$G$100)
+SUMIF('8'!$D$3:$D$100,D36,'8'!$G$3:$G$100)
+SUMIF('10'!$D$3:$D$100,D36,'10'!$G$3:$G$100)
+SUMIF('11'!$D$3:$D$100,D36,'11'!$G$3:$G$100)
+SUMIF('12'!$D$3:$D$100,D36,'12'!$G$3:$G$100)
+SUMIF('13'!$D$3:$D$100,D36,'13'!$G$3:$G$100)
+SUMIF('14'!$D$3:$D$100,D36,'14'!$G$3:$G$100)
+SUMIF('15'!$D$3:$D$100,D36,'15'!$G$3:$G$100)
+SUMIF('16'!$D$3:$D$100,D36,'16'!$G$3:$G$100)
+SUMIF('17'!$D$3:$D$100,D36,'17'!$G$3:$G$100)
)/10,0)</f>
        <v>0</v>
      </c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13</v>
      </c>
      <c r="C37" s="102"/>
      <c r="D37" s="102"/>
      <c r="E37" s="94" t="s">
        <v>198</v>
      </c>
      <c r="F37" s="270" t="s">
        <v>60</v>
      </c>
      <c r="G37" s="92">
        <f>ROUNDUP(
(SUMIF('1'!$D$3:$D$100,D37,'1'!$G$3:$G$100)
+SUMIF('2'!$D$3:$D$100,D37,'2'!$G$3:$G$100)
+SUMIF('3'!$D$3:$D$100,D37,'3'!$G$3:$G$100)
+SUMIF('4'!$D$3:$D$100,D37,'4'!$G$3:$G$100)
+SUMIF('5'!$D$3:$D$100,D37,'5'!$G$3:$G$100)
+SUMIF('6'!$D$3:$D$100,D37,'6'!$G$3:$G$100)
+SUMIF('7'!$D$3:$D$100,D37,'7'!$G$3:$G$100)
+SUMIF('9'!$D$3:$D$100,D37,'9'!$G$3:$G$100)
+SUMIF('8'!$D$3:$D$100,D37,'8'!$G$3:$G$100)
+SUMIF('10'!$D$3:$D$100,D37,'10'!$G$3:$G$100)
+SUMIF('11'!$D$3:$D$100,D37,'11'!$G$3:$G$100)
+SUMIF('12'!$D$3:$D$100,D37,'12'!$G$3:$G$100)
+SUMIF('13'!$D$3:$D$100,D37,'13'!$G$3:$G$100)
+SUMIF('14'!$D$3:$D$100,D37,'14'!$G$3:$G$100)
+SUMIF('15'!$D$3:$D$100,D37,'15'!$G$3:$G$100)
+SUMIF('16'!$D$3:$D$100,D37,'16'!$G$3:$G$100)
+SUMIF('17'!$D$3:$D$100,D37,'17'!$G$3:$G$100)
)/10,0)</f>
        <v>0</v>
      </c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14</v>
      </c>
      <c r="C38" s="102"/>
      <c r="D38" s="102"/>
      <c r="E38" s="94" t="s">
        <v>198</v>
      </c>
      <c r="F38" s="270" t="s">
        <v>60</v>
      </c>
      <c r="G38" s="92">
        <f>ROUNDUP(
(SUMIF('1'!$D$3:$D$100,D38,'1'!$G$3:$G$100)
+SUMIF('2'!$D$3:$D$100,D38,'2'!$G$3:$G$100)
+SUMIF('3'!$D$3:$D$100,D38,'3'!$G$3:$G$100)
+SUMIF('4'!$D$3:$D$100,D38,'4'!$G$3:$G$100)
+SUMIF('5'!$D$3:$D$100,D38,'5'!$G$3:$G$100)
+SUMIF('6'!$D$3:$D$100,D38,'6'!$G$3:$G$100)
+SUMIF('7'!$D$3:$D$100,D38,'7'!$G$3:$G$100)
+SUMIF('9'!$D$3:$D$100,D38,'9'!$G$3:$G$100)
+SUMIF('8'!$D$3:$D$100,D38,'8'!$G$3:$G$100)
+SUMIF('10'!$D$3:$D$100,D38,'10'!$G$3:$G$100)
+SUMIF('11'!$D$3:$D$100,D38,'11'!$G$3:$G$100)
+SUMIF('12'!$D$3:$D$100,D38,'12'!$G$3:$G$100)
+SUMIF('13'!$D$3:$D$100,D38,'13'!$G$3:$G$100)
+SUMIF('14'!$D$3:$D$100,D38,'14'!$G$3:$G$100)
+SUMIF('15'!$D$3:$D$100,D38,'15'!$G$3:$G$100)
+SUMIF('16'!$D$3:$D$100,D38,'16'!$G$3:$G$100)
+SUMIF('17'!$D$3:$D$100,D38,'17'!$G$3:$G$100)
)/10,0)</f>
        <v>0</v>
      </c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15</v>
      </c>
      <c r="C39" s="102"/>
      <c r="D39" s="102"/>
      <c r="E39" s="94" t="s">
        <v>198</v>
      </c>
      <c r="F39" s="270" t="s">
        <v>60</v>
      </c>
      <c r="G39" s="92">
        <f>ROUNDUP(
(SUMIF('1'!$D$3:$D$100,D39,'1'!$G$3:$G$100)
+SUMIF('2'!$D$3:$D$100,D39,'2'!$G$3:$G$100)
+SUMIF('3'!$D$3:$D$100,D39,'3'!$G$3:$G$100)
+SUMIF('4'!$D$3:$D$100,D39,'4'!$G$3:$G$100)
+SUMIF('5'!$D$3:$D$100,D39,'5'!$G$3:$G$100)
+SUMIF('6'!$D$3:$D$100,D39,'6'!$G$3:$G$100)
+SUMIF('7'!$D$3:$D$100,D39,'7'!$G$3:$G$100)
+SUMIF('9'!$D$3:$D$100,D39,'9'!$G$3:$G$100)
+SUMIF('8'!$D$3:$D$100,D39,'8'!$G$3:$G$100)
+SUMIF('10'!$D$3:$D$100,D39,'10'!$G$3:$G$100)
+SUMIF('11'!$D$3:$D$100,D39,'11'!$G$3:$G$100)
+SUMIF('12'!$D$3:$D$100,D39,'12'!$G$3:$G$100)
+SUMIF('13'!$D$3:$D$100,D39,'13'!$G$3:$G$100)
+SUMIF('14'!$D$3:$D$100,D39,'14'!$G$3:$G$100)
+SUMIF('15'!$D$3:$D$100,D39,'15'!$G$3:$G$100)
+SUMIF('16'!$D$3:$D$100,D39,'16'!$G$3:$G$100)
+SUMIF('17'!$D$3:$D$100,D39,'17'!$G$3:$G$100)
)/10,0)</f>
        <v>0</v>
      </c>
      <c r="H39" s="311">
        <f t="shared" si="10"/>
        <v>0</v>
      </c>
      <c r="I39" s="311">
        <f t="shared" si="8"/>
        <v>0</v>
      </c>
      <c r="J39" s="416">
        <f>'Наценки-Скидки'!$I$5</f>
        <v>0</v>
      </c>
      <c r="K39" s="311">
        <f t="shared" si="11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16</v>
      </c>
      <c r="C40" s="102"/>
      <c r="D40" s="102"/>
      <c r="E40" s="94" t="s">
        <v>198</v>
      </c>
      <c r="F40" s="270" t="s">
        <v>60</v>
      </c>
      <c r="G40" s="92">
        <f>ROUNDUP(
(SUMIF('1'!$D$3:$D$100,D40,'1'!$G$3:$G$100)
+SUMIF('2'!$D$3:$D$100,D40,'2'!$G$3:$G$100)
+SUMIF('3'!$D$3:$D$100,D40,'3'!$G$3:$G$100)
+SUMIF('4'!$D$3:$D$100,D40,'4'!$G$3:$G$100)
+SUMIF('5'!$D$3:$D$100,D40,'5'!$G$3:$G$100)
+SUMIF('6'!$D$3:$D$100,D40,'6'!$G$3:$G$100)
+SUMIF('7'!$D$3:$D$100,D40,'7'!$G$3:$G$100)
+SUMIF('9'!$D$3:$D$100,D40,'9'!$G$3:$G$100)
+SUMIF('8'!$D$3:$D$100,D40,'8'!$G$3:$G$100)
+SUMIF('10'!$D$3:$D$100,D40,'10'!$G$3:$G$100)
+SUMIF('11'!$D$3:$D$100,D40,'11'!$G$3:$G$100)
+SUMIF('12'!$D$3:$D$100,D40,'12'!$G$3:$G$100)
+SUMIF('13'!$D$3:$D$100,D40,'13'!$G$3:$G$100)
+SUMIF('14'!$D$3:$D$100,D40,'14'!$G$3:$G$100)
+SUMIF('15'!$D$3:$D$100,D40,'15'!$G$3:$G$100)
+SUMIF('16'!$D$3:$D$100,D40,'16'!$G$3:$G$100)
+SUMIF('17'!$D$3:$D$100,D40,'17'!$G$3:$G$100)
)/10,0)</f>
        <v>0</v>
      </c>
      <c r="H40" s="311">
        <f t="shared" si="10"/>
        <v>0</v>
      </c>
      <c r="I40" s="311">
        <f t="shared" si="8"/>
        <v>0</v>
      </c>
      <c r="J40" s="416">
        <f>'Наценки-Скидки'!$I$5</f>
        <v>0</v>
      </c>
      <c r="K40" s="311">
        <f t="shared" si="11"/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17</v>
      </c>
      <c r="C41" s="102"/>
      <c r="D41" s="102"/>
      <c r="E41" s="94" t="s">
        <v>198</v>
      </c>
      <c r="F41" s="270" t="s">
        <v>60</v>
      </c>
      <c r="G41" s="92">
        <f>ROUNDUP(
(SUMIF('1'!$D$3:$D$100,D41,'1'!$G$3:$G$100)
+SUMIF('2'!$D$3:$D$100,D41,'2'!$G$3:$G$100)
+SUMIF('3'!$D$3:$D$100,D41,'3'!$G$3:$G$100)
+SUMIF('4'!$D$3:$D$100,D41,'4'!$G$3:$G$100)
+SUMIF('5'!$D$3:$D$100,D41,'5'!$G$3:$G$100)
+SUMIF('6'!$D$3:$D$100,D41,'6'!$G$3:$G$100)
+SUMIF('7'!$D$3:$D$100,D41,'7'!$G$3:$G$100)
+SUMIF('9'!$D$3:$D$100,D41,'9'!$G$3:$G$100)
+SUMIF('8'!$D$3:$D$100,D41,'8'!$G$3:$G$100)
+SUMIF('10'!$D$3:$D$100,D41,'10'!$G$3:$G$100)
+SUMIF('11'!$D$3:$D$100,D41,'11'!$G$3:$G$100)
+SUMIF('12'!$D$3:$D$100,D41,'12'!$G$3:$G$100)
+SUMIF('13'!$D$3:$D$100,D41,'13'!$G$3:$G$100)
+SUMIF('14'!$D$3:$D$100,D41,'14'!$G$3:$G$100)
+SUMIF('15'!$D$3:$D$100,D41,'15'!$G$3:$G$100)
+SUMIF('16'!$D$3:$D$100,D41,'16'!$G$3:$G$100)
+SUMIF('17'!$D$3:$D$100,D41,'17'!$G$3:$G$100)
)/10,0)</f>
        <v>0</v>
      </c>
      <c r="H41" s="311">
        <f t="shared" si="10"/>
        <v>0</v>
      </c>
      <c r="I41" s="311">
        <f t="shared" si="8"/>
        <v>0</v>
      </c>
      <c r="J41" s="416">
        <f>'Наценки-Скидки'!$I$5</f>
        <v>0</v>
      </c>
      <c r="K41" s="311">
        <f t="shared" si="11"/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18</v>
      </c>
      <c r="C42" s="102"/>
      <c r="D42" s="102"/>
      <c r="E42" s="94" t="s">
        <v>198</v>
      </c>
      <c r="F42" s="270" t="s">
        <v>60</v>
      </c>
      <c r="G42" s="92">
        <f>ROUNDUP(
(SUMIF('1'!$D$3:$D$100,D42,'1'!$G$3:$G$100)
+SUMIF('2'!$D$3:$D$100,D42,'2'!$G$3:$G$100)
+SUMIF('3'!$D$3:$D$100,D42,'3'!$G$3:$G$100)
+SUMIF('4'!$D$3:$D$100,D42,'4'!$G$3:$G$100)
+SUMIF('5'!$D$3:$D$100,D42,'5'!$G$3:$G$100)
+SUMIF('6'!$D$3:$D$100,D42,'6'!$G$3:$G$100)
+SUMIF('7'!$D$3:$D$100,D42,'7'!$G$3:$G$100)
+SUMIF('9'!$D$3:$D$100,D42,'9'!$G$3:$G$100)
+SUMIF('8'!$D$3:$D$100,D42,'8'!$G$3:$G$100)
+SUMIF('10'!$D$3:$D$100,D42,'10'!$G$3:$G$100)
+SUMIF('11'!$D$3:$D$100,D42,'11'!$G$3:$G$100)
+SUMIF('12'!$D$3:$D$100,D42,'12'!$G$3:$G$100)
+SUMIF('13'!$D$3:$D$100,D42,'13'!$G$3:$G$100)
+SUMIF('14'!$D$3:$D$100,D42,'14'!$G$3:$G$100)
+SUMIF('15'!$D$3:$D$100,D42,'15'!$G$3:$G$100)
+SUMIF('16'!$D$3:$D$100,D42,'16'!$G$3:$G$100)
+SUMIF('17'!$D$3:$D$100,D42,'17'!$G$3:$G$100)
)/10,0)</f>
        <v>0</v>
      </c>
      <c r="H42" s="311">
        <f t="shared" si="10"/>
        <v>0</v>
      </c>
      <c r="I42" s="311">
        <f t="shared" si="8"/>
        <v>0</v>
      </c>
      <c r="J42" s="416">
        <f>'Наценки-Скидки'!$I$5</f>
        <v>0</v>
      </c>
      <c r="K42" s="311">
        <f t="shared" si="11"/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19</v>
      </c>
      <c r="C43" s="102"/>
      <c r="D43" s="49"/>
      <c r="E43" s="94" t="s">
        <v>198</v>
      </c>
      <c r="F43" s="270" t="s">
        <v>60</v>
      </c>
      <c r="G43" s="92">
        <f>ROUNDUP(
(SUMIF('1'!$D$3:$D$100,D43,'1'!$G$3:$G$100)
+SUMIF('2'!$D$3:$D$100,D43,'2'!$G$3:$G$100)
+SUMIF('3'!$D$3:$D$100,D43,'3'!$G$3:$G$100)
+SUMIF('4'!$D$3:$D$100,D43,'4'!$G$3:$G$100)
+SUMIF('5'!$D$3:$D$100,D43,'5'!$G$3:$G$100)
+SUMIF('6'!$D$3:$D$100,D43,'6'!$G$3:$G$100)
+SUMIF('7'!$D$3:$D$100,D43,'7'!$G$3:$G$100)
+SUMIF('9'!$D$3:$D$100,D43,'9'!$G$3:$G$100)
+SUMIF('8'!$D$3:$D$100,D43,'8'!$G$3:$G$100)
+SUMIF('10'!$D$3:$D$100,D43,'10'!$G$3:$G$100)
+SUMIF('11'!$D$3:$D$100,D43,'11'!$G$3:$G$100)
+SUMIF('12'!$D$3:$D$100,D43,'12'!$G$3:$G$100)
+SUMIF('13'!$D$3:$D$100,D43,'13'!$G$3:$G$100)
+SUMIF('14'!$D$3:$D$100,D43,'14'!$G$3:$G$100)
+SUMIF('15'!$D$3:$D$100,D43,'15'!$G$3:$G$100)
+SUMIF('16'!$D$3:$D$100,D43,'16'!$G$3:$G$100)
+SUMIF('17'!$D$3:$D$100,D43,'17'!$G$3:$G$100)
)/10,0)</f>
        <v>0</v>
      </c>
      <c r="H43" s="311">
        <f t="shared" si="10"/>
        <v>0</v>
      </c>
      <c r="I43" s="311">
        <f t="shared" si="8"/>
        <v>0</v>
      </c>
      <c r="J43" s="416">
        <f>'Наценки-Скидки'!$I$5</f>
        <v>0</v>
      </c>
      <c r="K43" s="311">
        <f t="shared" si="11"/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20</v>
      </c>
      <c r="C44" s="102"/>
      <c r="D44" s="49"/>
      <c r="E44" s="94" t="s">
        <v>198</v>
      </c>
      <c r="F44" s="270" t="s">
        <v>60</v>
      </c>
      <c r="G44" s="92">
        <f>ROUNDUP(
(SUMIF('1'!$D$3:$D$100,D44,'1'!$G$3:$G$100)
+SUMIF('2'!$D$3:$D$100,D44,'2'!$G$3:$G$100)
+SUMIF('3'!$D$3:$D$100,D44,'3'!$G$3:$G$100)
+SUMIF('4'!$D$3:$D$100,D44,'4'!$G$3:$G$100)
+SUMIF('5'!$D$3:$D$100,D44,'5'!$G$3:$G$100)
+SUMIF('6'!$D$3:$D$100,D44,'6'!$G$3:$G$100)
+SUMIF('7'!$D$3:$D$100,D44,'7'!$G$3:$G$100)
+SUMIF('9'!$D$3:$D$100,D44,'9'!$G$3:$G$100)
+SUMIF('8'!$D$3:$D$100,D44,'8'!$G$3:$G$100)
+SUMIF('10'!$D$3:$D$100,D44,'10'!$G$3:$G$100)
+SUMIF('11'!$D$3:$D$100,D44,'11'!$G$3:$G$100)
+SUMIF('12'!$D$3:$D$100,D44,'12'!$G$3:$G$100)
+SUMIF('13'!$D$3:$D$100,D44,'13'!$G$3:$G$100)
+SUMIF('14'!$D$3:$D$100,D44,'14'!$G$3:$G$100)
+SUMIF('15'!$D$3:$D$100,D44,'15'!$G$3:$G$100)
+SUMIF('16'!$D$3:$D$100,D44,'16'!$G$3:$G$100)
+SUMIF('17'!$D$3:$D$100,D44,'17'!$G$3:$G$100)
)/10,0)</f>
        <v>0</v>
      </c>
      <c r="H44" s="311">
        <f t="shared" ref="H44" si="13">ROUND($N44/(1-M44),2)</f>
        <v>0</v>
      </c>
      <c r="I44" s="311">
        <f t="shared" si="8"/>
        <v>0</v>
      </c>
      <c r="J44" s="416">
        <f>'Наценки-Скидки'!$I$5</f>
        <v>0</v>
      </c>
      <c r="K44" s="311">
        <f t="shared" ref="K44" si="1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ht="16.5" thickBot="1">
      <c r="B45" s="510" t="s">
        <v>210</v>
      </c>
      <c r="C45" s="511"/>
      <c r="D45" s="511"/>
      <c r="E45" s="511"/>
      <c r="F45" s="511"/>
      <c r="G45" s="511"/>
      <c r="H45" s="512"/>
      <c r="I45" s="310">
        <f ca="1">SUM(I25:OFFSET(I45,-1,0))</f>
        <v>0</v>
      </c>
      <c r="J45" s="310"/>
      <c r="K45" s="310">
        <f ca="1">SUM(K25:OFFSET(K45,-1,0))</f>
        <v>0</v>
      </c>
      <c r="M45" s="397"/>
      <c r="N45" s="398"/>
      <c r="O45" s="409">
        <f ca="1">SUM(O25:OFFSET(O45,-1,0))</f>
        <v>0</v>
      </c>
      <c r="R45" s="2"/>
      <c r="T45" s="28"/>
    </row>
    <row r="46" spans="2:20" ht="16.5" thickBot="1">
      <c r="C46" s="46"/>
      <c r="D46" s="46"/>
      <c r="E46" s="46"/>
      <c r="F46" s="46"/>
      <c r="G46" s="46"/>
      <c r="H46" s="38"/>
      <c r="R46" s="2"/>
      <c r="S46" s="28"/>
    </row>
    <row r="47" spans="2:20" ht="15.75">
      <c r="C47" s="513"/>
      <c r="D47" s="514"/>
      <c r="E47" s="514"/>
      <c r="F47" s="514"/>
      <c r="G47" s="514"/>
      <c r="H47" s="410" t="s">
        <v>55</v>
      </c>
      <c r="I47" s="410" t="s">
        <v>257</v>
      </c>
      <c r="J47" s="411" t="s">
        <v>258</v>
      </c>
      <c r="K47" s="399"/>
    </row>
    <row r="48" spans="2:20" ht="15.75">
      <c r="C48" s="515" t="s">
        <v>255</v>
      </c>
      <c r="D48" s="516"/>
      <c r="E48" s="516"/>
      <c r="F48" s="516"/>
      <c r="G48" s="516"/>
      <c r="H48" s="400">
        <f ca="1">O15</f>
        <v>0</v>
      </c>
      <c r="I48" s="401">
        <v>0.22</v>
      </c>
      <c r="J48" s="412">
        <f ca="1">H48*(1+I48)</f>
        <v>0</v>
      </c>
    </row>
    <row r="49" spans="3:18" ht="15.75">
      <c r="C49" s="515" t="s">
        <v>260</v>
      </c>
      <c r="D49" s="516"/>
      <c r="E49" s="516"/>
      <c r="F49" s="516"/>
      <c r="G49" s="516"/>
      <c r="H49" s="400">
        <f ca="1">K15</f>
        <v>0</v>
      </c>
      <c r="I49" s="401">
        <v>0.22</v>
      </c>
      <c r="J49" s="412">
        <f ca="1">H49*(1+I49)</f>
        <v>0</v>
      </c>
    </row>
    <row r="50" spans="3:18" ht="15.75">
      <c r="C50" s="517" t="s">
        <v>278</v>
      </c>
      <c r="D50" s="518"/>
      <c r="E50" s="518"/>
      <c r="F50" s="518"/>
      <c r="G50" s="518"/>
      <c r="H50" s="400"/>
      <c r="I50" s="401">
        <v>0.22</v>
      </c>
      <c r="J50" s="412">
        <f ca="1">K21</f>
        <v>0</v>
      </c>
      <c r="Q50" s="28"/>
      <c r="R50" s="2"/>
    </row>
    <row r="51" spans="3:18" ht="15.75">
      <c r="C51" s="497" t="s">
        <v>256</v>
      </c>
      <c r="D51" s="498"/>
      <c r="E51" s="498"/>
      <c r="F51" s="498"/>
      <c r="G51" s="498"/>
      <c r="H51" s="400">
        <f ca="1">O45</f>
        <v>0</v>
      </c>
      <c r="I51" s="401">
        <v>0.22</v>
      </c>
      <c r="J51" s="412">
        <f ca="1">H51*(1+I51)</f>
        <v>0</v>
      </c>
    </row>
    <row r="52" spans="3:18" ht="15.75">
      <c r="C52" s="497" t="s">
        <v>261</v>
      </c>
      <c r="D52" s="498"/>
      <c r="E52" s="498"/>
      <c r="F52" s="498"/>
      <c r="G52" s="498"/>
      <c r="H52" s="400">
        <f ca="1">K45</f>
        <v>0</v>
      </c>
      <c r="I52" s="401">
        <v>0.22</v>
      </c>
      <c r="J52" s="412">
        <f ca="1">H52*(1+I52)</f>
        <v>0</v>
      </c>
    </row>
    <row r="53" spans="3:18" ht="16.5" thickBot="1">
      <c r="C53" s="499" t="s">
        <v>268</v>
      </c>
      <c r="D53" s="500"/>
      <c r="E53" s="500"/>
      <c r="F53" s="500"/>
      <c r="G53" s="500"/>
      <c r="H53" s="413">
        <f ca="1">(H49-H48)+(H52-H51)</f>
        <v>0</v>
      </c>
      <c r="I53" s="414"/>
      <c r="J53" s="415">
        <f ca="1">(J49-J48)+(J52-J51)</f>
        <v>0</v>
      </c>
    </row>
    <row r="54" spans="3:18">
      <c r="I54" s="431" t="s">
        <v>279</v>
      </c>
      <c r="J54" s="429">
        <f ca="1">ROUND(J49+J50+J52,2)</f>
        <v>0</v>
      </c>
    </row>
  </sheetData>
  <sheetProtection selectLockedCells="1" selectUnlockedCells="1"/>
  <mergeCells count="13">
    <mergeCell ref="B45:H45"/>
    <mergeCell ref="B1:G1"/>
    <mergeCell ref="B15:H15"/>
    <mergeCell ref="B17:I17"/>
    <mergeCell ref="B21:H21"/>
    <mergeCell ref="B23:I23"/>
    <mergeCell ref="C53:G53"/>
    <mergeCell ref="C47:G47"/>
    <mergeCell ref="C48:G48"/>
    <mergeCell ref="C49:G49"/>
    <mergeCell ref="C50:G50"/>
    <mergeCell ref="C51:G51"/>
    <mergeCell ref="C52:G52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23</xdr:row>
                    <xdr:rowOff>9525</xdr:rowOff>
                  </from>
                  <to>
                    <xdr:col>0</xdr:col>
                    <xdr:colOff>447675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17</xdr:row>
                    <xdr:rowOff>9525</xdr:rowOff>
                  </from>
                  <to>
                    <xdr:col>0</xdr:col>
                    <xdr:colOff>447675</xdr:colOff>
                    <xdr:row>17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DABC9-30FC-4272-8053-3D1B14BA010F}">
  <sheetPr codeName="Лист38">
    <tabColor rgb="FFFFFF00"/>
  </sheetPr>
  <dimension ref="B1:T58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42.5703125" style="2" customWidth="1"/>
    <col min="5" max="5" width="20.14062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270</v>
      </c>
      <c r="C1" s="494"/>
      <c r="D1" s="494"/>
      <c r="E1" s="494"/>
      <c r="F1" s="494"/>
      <c r="G1" s="494"/>
      <c r="H1" s="313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419" t="str">
        <f>IFERROR(INDEX(#REF!,MATCH(D3,#REF!,0)),"")</f>
        <v/>
      </c>
      <c r="D3" s="49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6" si="1">IFERROR(H3*G3,"")</f>
        <v/>
      </c>
      <c r="J3" s="416">
        <f>'Наценки-Скидки'!$I$6</f>
        <v>0</v>
      </c>
      <c r="K3" s="405" t="str">
        <f>IFERROR(I3*(1-J3),"")</f>
        <v/>
      </c>
      <c r="M3" s="403">
        <v>0.5</v>
      </c>
      <c r="N3" s="311" t="str">
        <f>IFERROR(VLOOKUP(D3,#REF!,4,0),"")</f>
        <v/>
      </c>
      <c r="O3" s="404" t="str">
        <f t="shared" ref="O3:O6" si="2">IFERROR(N3*G3,"")</f>
        <v/>
      </c>
      <c r="R3" s="2"/>
    </row>
    <row r="4" spans="2:20">
      <c r="B4" s="66">
        <f t="shared" si="0"/>
        <v>2</v>
      </c>
      <c r="C4" s="419" t="str">
        <f>IFERROR(INDEX(#REF!,MATCH(D4,#REF!,0)),"")</f>
        <v/>
      </c>
      <c r="D4" s="49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'Наценки-Скидки'!$I$6</f>
        <v>0</v>
      </c>
      <c r="K4" s="405" t="str">
        <f t="shared" ref="K4:K6" si="3">IFERROR(I4*(1-J4),"")</f>
        <v/>
      </c>
      <c r="M4" s="403">
        <v>0.5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420" t="str">
        <f>IFERROR(INDEX(#REF!,MATCH(D5,#REF!,0)),"")</f>
        <v/>
      </c>
      <c r="D5" s="384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'Наценки-Скидки'!$I$6</f>
        <v>0</v>
      </c>
      <c r="K5" s="405" t="str">
        <f t="shared" si="3"/>
        <v/>
      </c>
      <c r="M5" s="403">
        <v>0.5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420" t="str">
        <f>IFERROR(INDEX(#REF!,MATCH(D6,#REF!,0)),"")</f>
        <v/>
      </c>
      <c r="D6" s="49"/>
      <c r="E6" s="311" t="s">
        <v>199</v>
      </c>
      <c r="F6" s="48" t="s">
        <v>60</v>
      </c>
      <c r="G6" s="95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'Наценки-Скидки'!$I$6</f>
        <v>0</v>
      </c>
      <c r="K6" s="405" t="str">
        <f t="shared" si="3"/>
        <v/>
      </c>
      <c r="M6" s="403">
        <v>0.5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420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ref="I7:I9" si="4">IFERROR(H7*G7,"")</f>
        <v/>
      </c>
      <c r="J7" s="416">
        <f>'Наценки-Скидки'!$I$6</f>
        <v>0</v>
      </c>
      <c r="K7" s="405" t="str">
        <f t="shared" ref="K7:K9" si="5">IFERROR(I7*(1-J7),"")</f>
        <v/>
      </c>
      <c r="M7" s="403">
        <v>0.5</v>
      </c>
      <c r="N7" s="311" t="str">
        <f>IFERROR(VLOOKUP(D7,#REF!,4,0),"")</f>
        <v/>
      </c>
      <c r="O7" s="405" t="str">
        <f t="shared" ref="O7:O9" si="6">IFERROR(N7*G7,"")</f>
        <v/>
      </c>
      <c r="R7" s="2"/>
    </row>
    <row r="8" spans="2:20">
      <c r="B8" s="67">
        <f t="shared" si="0"/>
        <v>6</v>
      </c>
      <c r="C8" s="420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4"/>
        <v/>
      </c>
      <c r="J8" s="416">
        <f>'Наценки-Скидки'!$I$6</f>
        <v>0</v>
      </c>
      <c r="K8" s="405" t="str">
        <f t="shared" si="5"/>
        <v/>
      </c>
      <c r="M8" s="403">
        <v>0.5</v>
      </c>
      <c r="N8" s="311" t="str">
        <f>IFERROR(VLOOKUP(D8,#REF!,4,0),"")</f>
        <v/>
      </c>
      <c r="O8" s="405" t="str">
        <f t="shared" si="6"/>
        <v/>
      </c>
      <c r="R8" s="2"/>
    </row>
    <row r="9" spans="2:20" ht="13.5" thickBot="1">
      <c r="B9" s="67">
        <f t="shared" si="0"/>
        <v>7</v>
      </c>
      <c r="C9" s="420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4"/>
        <v/>
      </c>
      <c r="J9" s="416">
        <f>'Наценки-Скидки'!$I$6</f>
        <v>0</v>
      </c>
      <c r="K9" s="405" t="str">
        <f t="shared" si="5"/>
        <v/>
      </c>
      <c r="M9" s="403">
        <v>0.5</v>
      </c>
      <c r="N9" s="311" t="str">
        <f>IFERROR(VLOOKUP(D9,#REF!,4,0),"")</f>
        <v/>
      </c>
      <c r="O9" s="405" t="str">
        <f t="shared" si="6"/>
        <v/>
      </c>
      <c r="R9" s="2"/>
    </row>
    <row r="10" spans="2:20" ht="16.5" thickBot="1">
      <c r="B10" s="495" t="s">
        <v>244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272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39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94" t="s">
        <v>178</v>
      </c>
      <c r="D14" s="93" t="s">
        <v>176</v>
      </c>
      <c r="E14" s="100"/>
      <c r="F14" s="48" t="s">
        <v>60</v>
      </c>
      <c r="G14" s="364">
        <f>'Конфигуратор лицензии'!J27</f>
        <v>0</v>
      </c>
      <c r="H14" s="311"/>
      <c r="I14" s="311">
        <f t="shared" ref="I14:I20" si="7">G14*H14</f>
        <v>0</v>
      </c>
      <c r="J14" s="416">
        <f>'Наценки-Скидки'!$I$4</f>
        <v>0</v>
      </c>
      <c r="K14" s="405">
        <f>IFERROR(I14*(1-J14),"")</f>
        <v>0</v>
      </c>
      <c r="N14" s="421"/>
      <c r="O14" s="404">
        <f t="shared" ref="O14:O20" si="8">$N14*$G14</f>
        <v>0</v>
      </c>
      <c r="R14" s="2"/>
      <c r="T14" s="28"/>
    </row>
    <row r="15" spans="2:20" s="42" customFormat="1">
      <c r="B15" s="69">
        <f t="shared" ref="B15:B20" si="9">B14+1</f>
        <v>2</v>
      </c>
      <c r="C15" s="94" t="s">
        <v>177</v>
      </c>
      <c r="D15" s="102" t="s">
        <v>179</v>
      </c>
      <c r="E15" s="101"/>
      <c r="F15" s="48" t="s">
        <v>60</v>
      </c>
      <c r="G15" s="364">
        <f>'Конфигуратор лицензии'!J51</f>
        <v>0</v>
      </c>
      <c r="H15" s="311"/>
      <c r="I15" s="311">
        <f t="shared" si="7"/>
        <v>0</v>
      </c>
      <c r="J15" s="416">
        <f>'Наценки-Скидки'!$I$4</f>
        <v>0</v>
      </c>
      <c r="K15" s="405">
        <f t="shared" ref="K15:K16" si="10">IFERROR(I15*(1-J15),"")</f>
        <v>0</v>
      </c>
      <c r="N15" s="421"/>
      <c r="O15" s="404">
        <f t="shared" si="8"/>
        <v>0</v>
      </c>
      <c r="T15" s="45"/>
    </row>
    <row r="16" spans="2:20" s="42" customFormat="1">
      <c r="B16" s="69">
        <f t="shared" si="9"/>
        <v>3</v>
      </c>
      <c r="C16" s="94" t="s">
        <v>180</v>
      </c>
      <c r="D16" s="102" t="s">
        <v>186</v>
      </c>
      <c r="E16" s="101"/>
      <c r="F16" s="48" t="s">
        <v>60</v>
      </c>
      <c r="G16" s="364">
        <f>'Конфигуратор лицензии'!I26</f>
        <v>0</v>
      </c>
      <c r="H16" s="311"/>
      <c r="I16" s="311">
        <f t="shared" si="7"/>
        <v>0</v>
      </c>
      <c r="J16" s="416">
        <f>'Наценки-Скидки'!$I$4</f>
        <v>0</v>
      </c>
      <c r="K16" s="405">
        <f t="shared" si="10"/>
        <v>0</v>
      </c>
      <c r="N16" s="421"/>
      <c r="O16" s="404">
        <f t="shared" si="8"/>
        <v>0</v>
      </c>
      <c r="T16" s="45"/>
    </row>
    <row r="17" spans="2:20" s="42" customFormat="1">
      <c r="B17" s="69">
        <f t="shared" si="9"/>
        <v>4</v>
      </c>
      <c r="C17" s="94" t="s">
        <v>181</v>
      </c>
      <c r="D17" s="102" t="s">
        <v>187</v>
      </c>
      <c r="E17" s="101"/>
      <c r="F17" s="48" t="s">
        <v>60</v>
      </c>
      <c r="G17" s="364">
        <f>'Конфигуратор лицензии'!I50</f>
        <v>0</v>
      </c>
      <c r="H17" s="311"/>
      <c r="I17" s="311">
        <f t="shared" si="7"/>
        <v>0</v>
      </c>
      <c r="J17" s="416">
        <f>'Наценки-Скидки'!$I$4</f>
        <v>0</v>
      </c>
      <c r="K17" s="405">
        <f t="shared" ref="K17" si="11">IFERROR(I17*(1-J17),"")</f>
        <v>0</v>
      </c>
      <c r="N17" s="421"/>
      <c r="O17" s="404">
        <f t="shared" si="8"/>
        <v>0</v>
      </c>
      <c r="T17" s="45"/>
    </row>
    <row r="18" spans="2:20" s="42" customFormat="1">
      <c r="B18" s="69">
        <f t="shared" si="9"/>
        <v>5</v>
      </c>
      <c r="C18" s="94" t="s">
        <v>182</v>
      </c>
      <c r="D18" s="102" t="s">
        <v>185</v>
      </c>
      <c r="E18" s="101"/>
      <c r="F18" s="48" t="s">
        <v>60</v>
      </c>
      <c r="G18" s="364">
        <f>'Конфигуратор лицензии'!H25</f>
        <v>0</v>
      </c>
      <c r="H18" s="311"/>
      <c r="I18" s="311">
        <f t="shared" si="7"/>
        <v>0</v>
      </c>
      <c r="J18" s="416">
        <f>'Наценки-Скидки'!$I$4</f>
        <v>0</v>
      </c>
      <c r="K18" s="405">
        <f t="shared" ref="K18" si="12">IFERROR(I18*(1-J18),"")</f>
        <v>0</v>
      </c>
      <c r="N18" s="421"/>
      <c r="O18" s="404">
        <f t="shared" si="8"/>
        <v>0</v>
      </c>
      <c r="T18" s="45"/>
    </row>
    <row r="19" spans="2:20" s="42" customFormat="1">
      <c r="B19" s="69">
        <f t="shared" si="9"/>
        <v>6</v>
      </c>
      <c r="C19" s="94" t="s">
        <v>183</v>
      </c>
      <c r="D19" s="102" t="s">
        <v>184</v>
      </c>
      <c r="E19" s="101"/>
      <c r="F19" s="48" t="s">
        <v>60</v>
      </c>
      <c r="G19" s="364">
        <f>'Конфигуратор лицензии'!H49</f>
        <v>0</v>
      </c>
      <c r="H19" s="311"/>
      <c r="I19" s="311">
        <f t="shared" si="7"/>
        <v>0</v>
      </c>
      <c r="J19" s="416">
        <f>'Наценки-Скидки'!$I$4</f>
        <v>0</v>
      </c>
      <c r="K19" s="405">
        <f t="shared" ref="K19" si="13">IFERROR(I19*(1-J19),"")</f>
        <v>0</v>
      </c>
      <c r="N19" s="421"/>
      <c r="O19" s="404">
        <f t="shared" si="8"/>
        <v>0</v>
      </c>
      <c r="T19" s="45"/>
    </row>
    <row r="20" spans="2:20" s="42" customFormat="1">
      <c r="B20" s="69">
        <f t="shared" si="9"/>
        <v>7</v>
      </c>
      <c r="C20" s="102"/>
      <c r="D20" s="102"/>
      <c r="E20" s="101"/>
      <c r="F20" s="48" t="s">
        <v>60</v>
      </c>
      <c r="G20" s="364"/>
      <c r="H20" s="311"/>
      <c r="I20" s="311">
        <f t="shared" si="7"/>
        <v>0</v>
      </c>
      <c r="J20" s="416">
        <f>'Наценки-Скидки'!$I$4</f>
        <v>0</v>
      </c>
      <c r="K20" s="405">
        <f t="shared" ref="K20" si="14">IFERROR(I20*(1-J20),"")</f>
        <v>0</v>
      </c>
      <c r="N20" s="421"/>
      <c r="O20" s="404">
        <f t="shared" si="8"/>
        <v>0</v>
      </c>
      <c r="T20" s="45"/>
    </row>
    <row r="21" spans="2:20" ht="16.5" thickBot="1">
      <c r="B21" s="504" t="s">
        <v>271</v>
      </c>
      <c r="C21" s="505"/>
      <c r="D21" s="505"/>
      <c r="E21" s="505"/>
      <c r="F21" s="505"/>
      <c r="G21" s="505"/>
      <c r="H21" s="506"/>
      <c r="I21" s="316">
        <f ca="1">SUM(I14:OFFSET(I21,-1,0))</f>
        <v>0</v>
      </c>
      <c r="J21" s="316"/>
      <c r="K21" s="407">
        <f ca="1">SUM(K14:OFFSET(K21,-1,0))</f>
        <v>0</v>
      </c>
      <c r="N21" s="393"/>
      <c r="O21" s="407">
        <f ca="1">SUM(O14:OFFSET(O21,-1,0))</f>
        <v>0</v>
      </c>
      <c r="R21" s="2"/>
      <c r="T21" s="28"/>
    </row>
    <row r="22" spans="2:20" ht="13.5" thickBot="1"/>
    <row r="23" spans="2:20" ht="16.5" thickBot="1">
      <c r="B23" s="507" t="s">
        <v>246</v>
      </c>
      <c r="C23" s="508"/>
      <c r="D23" s="508"/>
      <c r="E23" s="508"/>
      <c r="F23" s="508"/>
      <c r="G23" s="508"/>
      <c r="H23" s="508"/>
      <c r="I23" s="509"/>
      <c r="J23" s="396"/>
      <c r="K23" s="396"/>
      <c r="M23" s="394"/>
      <c r="N23" s="395"/>
      <c r="O23" s="396"/>
    </row>
    <row r="24" spans="2:20" ht="39" thickBot="1">
      <c r="B24" s="36" t="s">
        <v>54</v>
      </c>
      <c r="C24" s="27" t="s">
        <v>41</v>
      </c>
      <c r="D24" s="27" t="s">
        <v>38</v>
      </c>
      <c r="E24" s="36" t="s">
        <v>71</v>
      </c>
      <c r="F24" s="27" t="s">
        <v>97</v>
      </c>
      <c r="G24" s="30" t="s">
        <v>39</v>
      </c>
      <c r="H24" s="30" t="s">
        <v>241</v>
      </c>
      <c r="I24" s="36" t="s">
        <v>243</v>
      </c>
      <c r="J24" s="36" t="s">
        <v>262</v>
      </c>
      <c r="K24" s="36" t="s">
        <v>264</v>
      </c>
      <c r="M24" s="36" t="s">
        <v>269</v>
      </c>
      <c r="N24" s="36" t="s">
        <v>240</v>
      </c>
      <c r="O24" s="30" t="s">
        <v>242</v>
      </c>
      <c r="R24" s="2"/>
      <c r="T24" s="28"/>
    </row>
    <row r="25" spans="2:20">
      <c r="B25" s="65">
        <v>1</v>
      </c>
      <c r="C25" s="102"/>
      <c r="D25" s="93"/>
      <c r="E25" s="100"/>
      <c r="F25" s="270" t="s">
        <v>60</v>
      </c>
      <c r="G25" s="95"/>
      <c r="H25" s="311">
        <f>ROUND($N25/(1-M25),2)</f>
        <v>0</v>
      </c>
      <c r="I25" s="311">
        <f t="shared" ref="I25:I44" si="15">G25*H25</f>
        <v>0</v>
      </c>
      <c r="J25" s="416">
        <f>'Наценки-Скидки'!$I$8</f>
        <v>0</v>
      </c>
      <c r="K25" s="311">
        <f>IFERROR(I25*(1-J25),"")</f>
        <v>0</v>
      </c>
      <c r="M25" s="408">
        <f>'Наценки-Скидки'!$F$6</f>
        <v>0.35</v>
      </c>
      <c r="N25" s="357"/>
      <c r="O25" s="404">
        <f t="shared" ref="O25:O44" si="16">$N25*$G25</f>
        <v>0</v>
      </c>
      <c r="R25" s="2"/>
      <c r="T25" s="28"/>
    </row>
    <row r="26" spans="2:20" s="42" customFormat="1">
      <c r="B26" s="69">
        <f>B25+1</f>
        <v>2</v>
      </c>
      <c r="C26" s="102"/>
      <c r="D26" s="102"/>
      <c r="E26" s="101"/>
      <c r="F26" s="270" t="s">
        <v>60</v>
      </c>
      <c r="G26" s="99"/>
      <c r="H26" s="311">
        <f t="shared" ref="H26:H44" si="17">ROUND($N26/(1-M26),2)</f>
        <v>0</v>
      </c>
      <c r="I26" s="311">
        <f t="shared" si="15"/>
        <v>0</v>
      </c>
      <c r="J26" s="416">
        <f>'Наценки-Скидки'!$I$8</f>
        <v>0</v>
      </c>
      <c r="K26" s="311">
        <f t="shared" ref="K26:K44" si="18">IFERROR(I26*(1-J26),"")</f>
        <v>0</v>
      </c>
      <c r="M26" s="408">
        <f>'Наценки-Скидки'!$F$6</f>
        <v>0.35</v>
      </c>
      <c r="N26" s="357"/>
      <c r="O26" s="404">
        <f t="shared" si="16"/>
        <v>0</v>
      </c>
      <c r="T26" s="45"/>
    </row>
    <row r="27" spans="2:20" s="42" customFormat="1">
      <c r="B27" s="69">
        <f t="shared" ref="B27:B44" si="19">B26+1</f>
        <v>3</v>
      </c>
      <c r="C27" s="101"/>
      <c r="D27" s="102"/>
      <c r="E27" s="101"/>
      <c r="F27" s="270" t="s">
        <v>60</v>
      </c>
      <c r="G27" s="99"/>
      <c r="H27" s="311">
        <f t="shared" si="17"/>
        <v>0</v>
      </c>
      <c r="I27" s="311">
        <f t="shared" si="15"/>
        <v>0</v>
      </c>
      <c r="J27" s="416">
        <f>'Наценки-Скидки'!$I$8</f>
        <v>0</v>
      </c>
      <c r="K27" s="311">
        <f t="shared" si="18"/>
        <v>0</v>
      </c>
      <c r="M27" s="408">
        <f>'Наценки-Скидки'!$F$6</f>
        <v>0.35</v>
      </c>
      <c r="N27" s="357"/>
      <c r="O27" s="404">
        <f t="shared" si="16"/>
        <v>0</v>
      </c>
      <c r="T27" s="45"/>
    </row>
    <row r="28" spans="2:20" s="42" customFormat="1">
      <c r="B28" s="69">
        <f t="shared" si="19"/>
        <v>4</v>
      </c>
      <c r="C28" s="102"/>
      <c r="D28" s="102"/>
      <c r="E28" s="101"/>
      <c r="F28" s="270" t="s">
        <v>60</v>
      </c>
      <c r="G28" s="99"/>
      <c r="H28" s="311">
        <f t="shared" si="17"/>
        <v>0</v>
      </c>
      <c r="I28" s="311">
        <f t="shared" si="15"/>
        <v>0</v>
      </c>
      <c r="J28" s="416">
        <f>'Наценки-Скидки'!$I$8</f>
        <v>0</v>
      </c>
      <c r="K28" s="311">
        <f t="shared" si="18"/>
        <v>0</v>
      </c>
      <c r="M28" s="408">
        <f>'Наценки-Скидки'!$F$6</f>
        <v>0.35</v>
      </c>
      <c r="N28" s="357"/>
      <c r="O28" s="404">
        <f t="shared" si="16"/>
        <v>0</v>
      </c>
      <c r="T28" s="45"/>
    </row>
    <row r="29" spans="2:20" s="42" customFormat="1">
      <c r="B29" s="69">
        <f t="shared" si="19"/>
        <v>5</v>
      </c>
      <c r="C29" s="102"/>
      <c r="D29" s="102"/>
      <c r="E29" s="101"/>
      <c r="F29" s="270" t="s">
        <v>60</v>
      </c>
      <c r="G29" s="99"/>
      <c r="H29" s="311">
        <f t="shared" si="17"/>
        <v>0</v>
      </c>
      <c r="I29" s="311">
        <f t="shared" si="15"/>
        <v>0</v>
      </c>
      <c r="J29" s="416">
        <f>'Наценки-Скидки'!$I$8</f>
        <v>0</v>
      </c>
      <c r="K29" s="311">
        <f t="shared" si="18"/>
        <v>0</v>
      </c>
      <c r="M29" s="408">
        <f>'Наценки-Скидки'!$F$6</f>
        <v>0.35</v>
      </c>
      <c r="N29" s="357"/>
      <c r="O29" s="405">
        <f t="shared" si="16"/>
        <v>0</v>
      </c>
      <c r="T29" s="45"/>
    </row>
    <row r="30" spans="2:20" s="42" customFormat="1">
      <c r="B30" s="69">
        <f t="shared" si="19"/>
        <v>6</v>
      </c>
      <c r="C30" s="102"/>
      <c r="D30" s="49"/>
      <c r="E30" s="101"/>
      <c r="F30" s="270" t="s">
        <v>60</v>
      </c>
      <c r="G30" s="99"/>
      <c r="H30" s="311">
        <f t="shared" si="17"/>
        <v>0</v>
      </c>
      <c r="I30" s="311">
        <f t="shared" si="15"/>
        <v>0</v>
      </c>
      <c r="J30" s="416">
        <f>'Наценки-Скидки'!$I$8</f>
        <v>0</v>
      </c>
      <c r="K30" s="311">
        <f t="shared" si="18"/>
        <v>0</v>
      </c>
      <c r="M30" s="408">
        <f>'Наценки-Скидки'!$F$6</f>
        <v>0.35</v>
      </c>
      <c r="N30" s="357"/>
      <c r="O30" s="404">
        <f t="shared" si="16"/>
        <v>0</v>
      </c>
      <c r="T30" s="45"/>
    </row>
    <row r="31" spans="2:20" s="42" customFormat="1">
      <c r="B31" s="69">
        <f t="shared" si="19"/>
        <v>7</v>
      </c>
      <c r="C31" s="102"/>
      <c r="D31" s="49"/>
      <c r="E31" s="94" t="s">
        <v>198</v>
      </c>
      <c r="F31" s="270" t="s">
        <v>60</v>
      </c>
      <c r="G31" s="95"/>
      <c r="H31" s="311">
        <f t="shared" si="17"/>
        <v>0</v>
      </c>
      <c r="I31" s="311">
        <f t="shared" si="15"/>
        <v>0</v>
      </c>
      <c r="J31" s="416">
        <f>'Наценки-Скидки'!$I$8</f>
        <v>0</v>
      </c>
      <c r="K31" s="311">
        <f t="shared" si="18"/>
        <v>0</v>
      </c>
      <c r="M31" s="408">
        <f>'Наценки-Скидки'!$F$6</f>
        <v>0.35</v>
      </c>
      <c r="N31" s="357"/>
      <c r="O31" s="404">
        <f t="shared" si="16"/>
        <v>0</v>
      </c>
      <c r="T31" s="45"/>
    </row>
    <row r="32" spans="2:20" s="42" customFormat="1">
      <c r="B32" s="69">
        <f t="shared" si="19"/>
        <v>8</v>
      </c>
      <c r="C32" s="102"/>
      <c r="D32" s="49"/>
      <c r="E32" s="94" t="s">
        <v>198</v>
      </c>
      <c r="F32" s="270" t="s">
        <v>60</v>
      </c>
      <c r="G32" s="95"/>
      <c r="H32" s="311">
        <f t="shared" si="17"/>
        <v>0</v>
      </c>
      <c r="I32" s="311">
        <f t="shared" si="15"/>
        <v>0</v>
      </c>
      <c r="J32" s="416">
        <f>'Наценки-Скидки'!$I$8</f>
        <v>0</v>
      </c>
      <c r="K32" s="311">
        <f t="shared" si="18"/>
        <v>0</v>
      </c>
      <c r="M32" s="408">
        <f>'Наценки-Скидки'!$F$6</f>
        <v>0.35</v>
      </c>
      <c r="N32" s="357"/>
      <c r="O32" s="404">
        <f t="shared" si="16"/>
        <v>0</v>
      </c>
      <c r="T32" s="45"/>
    </row>
    <row r="33" spans="2:20" s="42" customFormat="1">
      <c r="B33" s="69">
        <f t="shared" si="19"/>
        <v>9</v>
      </c>
      <c r="C33" s="101"/>
      <c r="D33" s="49"/>
      <c r="E33" s="94" t="s">
        <v>198</v>
      </c>
      <c r="F33" s="270" t="s">
        <v>60</v>
      </c>
      <c r="G33" s="95"/>
      <c r="H33" s="311">
        <f t="shared" si="17"/>
        <v>0</v>
      </c>
      <c r="I33" s="311">
        <f t="shared" si="15"/>
        <v>0</v>
      </c>
      <c r="J33" s="416">
        <f>'Наценки-Скидки'!$I$8</f>
        <v>0</v>
      </c>
      <c r="K33" s="311">
        <f t="shared" si="18"/>
        <v>0</v>
      </c>
      <c r="M33" s="408">
        <f>'Наценки-Скидки'!$F$6</f>
        <v>0.35</v>
      </c>
      <c r="N33" s="357"/>
      <c r="O33" s="404">
        <f t="shared" si="16"/>
        <v>0</v>
      </c>
      <c r="T33" s="45"/>
    </row>
    <row r="34" spans="2:20" s="42" customFormat="1">
      <c r="B34" s="69">
        <f t="shared" si="19"/>
        <v>10</v>
      </c>
      <c r="C34" s="102"/>
      <c r="D34" s="49"/>
      <c r="E34" s="94" t="s">
        <v>198</v>
      </c>
      <c r="F34" s="270" t="s">
        <v>60</v>
      </c>
      <c r="G34" s="95"/>
      <c r="H34" s="311">
        <f t="shared" si="17"/>
        <v>0</v>
      </c>
      <c r="I34" s="311">
        <f t="shared" si="15"/>
        <v>0</v>
      </c>
      <c r="J34" s="416">
        <f>'Наценки-Скидки'!$I$8</f>
        <v>0</v>
      </c>
      <c r="K34" s="311">
        <f t="shared" si="18"/>
        <v>0</v>
      </c>
      <c r="M34" s="408">
        <f>'Наценки-Скидки'!$F$6</f>
        <v>0.35</v>
      </c>
      <c r="N34" s="357"/>
      <c r="O34" s="404">
        <f t="shared" si="16"/>
        <v>0</v>
      </c>
      <c r="T34" s="45"/>
    </row>
    <row r="35" spans="2:20" s="42" customFormat="1">
      <c r="B35" s="69">
        <f t="shared" si="19"/>
        <v>11</v>
      </c>
      <c r="C35" s="102"/>
      <c r="D35" s="49"/>
      <c r="E35" s="94" t="s">
        <v>198</v>
      </c>
      <c r="F35" s="270" t="s">
        <v>60</v>
      </c>
      <c r="G35" s="95"/>
      <c r="H35" s="311">
        <f t="shared" si="17"/>
        <v>0</v>
      </c>
      <c r="I35" s="311">
        <f t="shared" si="15"/>
        <v>0</v>
      </c>
      <c r="J35" s="416">
        <f>'Наценки-Скидки'!$I$8</f>
        <v>0</v>
      </c>
      <c r="K35" s="311">
        <f t="shared" si="18"/>
        <v>0</v>
      </c>
      <c r="M35" s="408">
        <f>'Наценки-Скидки'!$F$6</f>
        <v>0.35</v>
      </c>
      <c r="N35" s="357"/>
      <c r="O35" s="404">
        <f t="shared" si="16"/>
        <v>0</v>
      </c>
      <c r="T35" s="45"/>
    </row>
    <row r="36" spans="2:20" s="42" customFormat="1">
      <c r="B36" s="69">
        <f t="shared" si="19"/>
        <v>12</v>
      </c>
      <c r="C36" s="102"/>
      <c r="D36" s="49"/>
      <c r="E36" s="94" t="s">
        <v>198</v>
      </c>
      <c r="F36" s="270" t="s">
        <v>60</v>
      </c>
      <c r="G36" s="95"/>
      <c r="H36" s="311">
        <f t="shared" si="17"/>
        <v>0</v>
      </c>
      <c r="I36" s="311">
        <f t="shared" si="15"/>
        <v>0</v>
      </c>
      <c r="J36" s="416">
        <f>'Наценки-Скидки'!$I$8</f>
        <v>0</v>
      </c>
      <c r="K36" s="311">
        <f t="shared" si="18"/>
        <v>0</v>
      </c>
      <c r="M36" s="408">
        <f>'Наценки-Скидки'!$F$6</f>
        <v>0.35</v>
      </c>
      <c r="N36" s="357"/>
      <c r="O36" s="404">
        <f t="shared" si="16"/>
        <v>0</v>
      </c>
      <c r="T36" s="45"/>
    </row>
    <row r="37" spans="2:20" s="42" customFormat="1">
      <c r="B37" s="69">
        <f t="shared" si="19"/>
        <v>13</v>
      </c>
      <c r="C37" s="102"/>
      <c r="D37" s="49"/>
      <c r="E37" s="94" t="s">
        <v>198</v>
      </c>
      <c r="F37" s="270" t="s">
        <v>60</v>
      </c>
      <c r="G37" s="95"/>
      <c r="H37" s="311">
        <f t="shared" ref="H37:H38" si="20">ROUND($N37/(1-M37),2)</f>
        <v>0</v>
      </c>
      <c r="I37" s="311">
        <f t="shared" ref="I37:I38" si="21">G37*H37</f>
        <v>0</v>
      </c>
      <c r="J37" s="416">
        <f>'Наценки-Скидки'!$I$8</f>
        <v>0</v>
      </c>
      <c r="K37" s="311">
        <f t="shared" ref="K37:K38" si="22">IFERROR(I37*(1-J37),"")</f>
        <v>0</v>
      </c>
      <c r="M37" s="408">
        <f>'Наценки-Скидки'!$F$6</f>
        <v>0.35</v>
      </c>
      <c r="N37" s="357"/>
      <c r="O37" s="404">
        <f t="shared" si="16"/>
        <v>0</v>
      </c>
      <c r="T37" s="45"/>
    </row>
    <row r="38" spans="2:20" s="42" customFormat="1">
      <c r="B38" s="69">
        <f t="shared" si="19"/>
        <v>14</v>
      </c>
      <c r="C38" s="101"/>
      <c r="D38" s="49"/>
      <c r="E38" s="94" t="s">
        <v>198</v>
      </c>
      <c r="F38" s="270" t="s">
        <v>60</v>
      </c>
      <c r="G38" s="95"/>
      <c r="H38" s="311">
        <f t="shared" si="20"/>
        <v>0</v>
      </c>
      <c r="I38" s="311">
        <f t="shared" si="21"/>
        <v>0</v>
      </c>
      <c r="J38" s="416">
        <f>'Наценки-Скидки'!$I$8</f>
        <v>0</v>
      </c>
      <c r="K38" s="311">
        <f t="shared" si="22"/>
        <v>0</v>
      </c>
      <c r="M38" s="408">
        <f>'Наценки-Скидки'!$F$6</f>
        <v>0.35</v>
      </c>
      <c r="N38" s="357"/>
      <c r="O38" s="404">
        <f t="shared" si="16"/>
        <v>0</v>
      </c>
      <c r="T38" s="45"/>
    </row>
    <row r="39" spans="2:20" s="42" customFormat="1">
      <c r="B39" s="69">
        <f t="shared" si="19"/>
        <v>15</v>
      </c>
      <c r="C39" s="102"/>
      <c r="D39" s="49"/>
      <c r="E39" s="94" t="s">
        <v>198</v>
      </c>
      <c r="F39" s="270" t="s">
        <v>60</v>
      </c>
      <c r="G39" s="95"/>
      <c r="H39" s="311">
        <f t="shared" si="17"/>
        <v>0</v>
      </c>
      <c r="I39" s="311">
        <f t="shared" si="15"/>
        <v>0</v>
      </c>
      <c r="J39" s="416">
        <f>'Наценки-Скидки'!$I$8</f>
        <v>0</v>
      </c>
      <c r="K39" s="311">
        <f t="shared" si="18"/>
        <v>0</v>
      </c>
      <c r="M39" s="408">
        <f>'Наценки-Скидки'!$F$6</f>
        <v>0.35</v>
      </c>
      <c r="N39" s="357"/>
      <c r="O39" s="404">
        <f t="shared" si="16"/>
        <v>0</v>
      </c>
      <c r="T39" s="45"/>
    </row>
    <row r="40" spans="2:20" s="42" customFormat="1">
      <c r="B40" s="69">
        <f t="shared" si="19"/>
        <v>16</v>
      </c>
      <c r="C40" s="101"/>
      <c r="D40" s="49"/>
      <c r="E40" s="94" t="s">
        <v>198</v>
      </c>
      <c r="F40" s="270" t="s">
        <v>60</v>
      </c>
      <c r="G40" s="95"/>
      <c r="H40" s="311">
        <f t="shared" si="17"/>
        <v>0</v>
      </c>
      <c r="I40" s="311">
        <f t="shared" si="15"/>
        <v>0</v>
      </c>
      <c r="J40" s="416">
        <f>'Наценки-Скидки'!$I$8</f>
        <v>0</v>
      </c>
      <c r="K40" s="311">
        <f t="shared" si="18"/>
        <v>0</v>
      </c>
      <c r="M40" s="408">
        <f>'Наценки-Скидки'!$F$6</f>
        <v>0.35</v>
      </c>
      <c r="N40" s="357"/>
      <c r="O40" s="404">
        <f t="shared" si="16"/>
        <v>0</v>
      </c>
      <c r="T40" s="45"/>
    </row>
    <row r="41" spans="2:20" s="42" customFormat="1">
      <c r="B41" s="69">
        <f t="shared" si="19"/>
        <v>17</v>
      </c>
      <c r="C41" s="101"/>
      <c r="D41" s="49"/>
      <c r="E41" s="94" t="s">
        <v>198</v>
      </c>
      <c r="F41" s="270" t="s">
        <v>60</v>
      </c>
      <c r="G41" s="95"/>
      <c r="H41" s="311">
        <f t="shared" si="17"/>
        <v>0</v>
      </c>
      <c r="I41" s="311">
        <f t="shared" si="15"/>
        <v>0</v>
      </c>
      <c r="J41" s="416">
        <f>'Наценки-Скидки'!$I$8</f>
        <v>0</v>
      </c>
      <c r="K41" s="311">
        <f t="shared" si="18"/>
        <v>0</v>
      </c>
      <c r="M41" s="408">
        <f>'Наценки-Скидки'!$F$6</f>
        <v>0.35</v>
      </c>
      <c r="N41" s="357"/>
      <c r="O41" s="404">
        <f t="shared" si="16"/>
        <v>0</v>
      </c>
      <c r="T41" s="45"/>
    </row>
    <row r="42" spans="2:20" s="42" customFormat="1">
      <c r="B42" s="69">
        <f t="shared" si="19"/>
        <v>18</v>
      </c>
      <c r="C42" s="102"/>
      <c r="D42" s="49"/>
      <c r="E42" s="94" t="s">
        <v>198</v>
      </c>
      <c r="F42" s="270" t="s">
        <v>60</v>
      </c>
      <c r="G42" s="95"/>
      <c r="H42" s="311">
        <f t="shared" ref="H42:H43" si="23">ROUND($N42/(1-M42),2)</f>
        <v>0</v>
      </c>
      <c r="I42" s="311">
        <f t="shared" ref="I42:I43" si="24">G42*H42</f>
        <v>0</v>
      </c>
      <c r="J42" s="416">
        <f>'Наценки-Скидки'!$I$8</f>
        <v>0</v>
      </c>
      <c r="K42" s="311">
        <f t="shared" ref="K42:K43" si="25">IFERROR(I42*(1-J42),"")</f>
        <v>0</v>
      </c>
      <c r="M42" s="408">
        <f>'Наценки-Скидки'!$F$6</f>
        <v>0.35</v>
      </c>
      <c r="N42" s="357"/>
      <c r="O42" s="404">
        <f t="shared" si="16"/>
        <v>0</v>
      </c>
      <c r="T42" s="45"/>
    </row>
    <row r="43" spans="2:20" s="42" customFormat="1">
      <c r="B43" s="69">
        <f t="shared" si="19"/>
        <v>19</v>
      </c>
      <c r="C43" s="102"/>
      <c r="D43" s="49"/>
      <c r="E43" s="94" t="s">
        <v>198</v>
      </c>
      <c r="F43" s="270" t="s">
        <v>60</v>
      </c>
      <c r="G43" s="95"/>
      <c r="H43" s="311">
        <f t="shared" si="23"/>
        <v>0</v>
      </c>
      <c r="I43" s="311">
        <f t="shared" si="24"/>
        <v>0</v>
      </c>
      <c r="J43" s="416">
        <f>'Наценки-Скидки'!$I$8</f>
        <v>0</v>
      </c>
      <c r="K43" s="311">
        <f t="shared" si="25"/>
        <v>0</v>
      </c>
      <c r="M43" s="408">
        <f>'Наценки-Скидки'!$F$6</f>
        <v>0.35</v>
      </c>
      <c r="N43" s="357"/>
      <c r="O43" s="404">
        <f t="shared" si="16"/>
        <v>0</v>
      </c>
      <c r="T43" s="45"/>
    </row>
    <row r="44" spans="2:20" s="42" customFormat="1">
      <c r="B44" s="69">
        <f t="shared" si="19"/>
        <v>20</v>
      </c>
      <c r="C44" s="102"/>
      <c r="D44" s="49"/>
      <c r="E44" s="94" t="s">
        <v>198</v>
      </c>
      <c r="F44" s="270" t="s">
        <v>60</v>
      </c>
      <c r="G44" s="95"/>
      <c r="H44" s="311">
        <f t="shared" si="17"/>
        <v>0</v>
      </c>
      <c r="I44" s="311">
        <f t="shared" si="15"/>
        <v>0</v>
      </c>
      <c r="J44" s="416">
        <f>'Наценки-Скидки'!$I$8</f>
        <v>0</v>
      </c>
      <c r="K44" s="311">
        <f t="shared" si="18"/>
        <v>0</v>
      </c>
      <c r="M44" s="408">
        <f>'Наценки-Скидки'!$F$6</f>
        <v>0.35</v>
      </c>
      <c r="N44" s="357"/>
      <c r="O44" s="404">
        <f t="shared" si="16"/>
        <v>0</v>
      </c>
      <c r="T44" s="45"/>
    </row>
    <row r="45" spans="2:20" ht="16.5" thickBot="1">
      <c r="B45" s="510" t="s">
        <v>245</v>
      </c>
      <c r="C45" s="511"/>
      <c r="D45" s="511"/>
      <c r="E45" s="511"/>
      <c r="F45" s="511"/>
      <c r="G45" s="511"/>
      <c r="H45" s="512"/>
      <c r="I45" s="310">
        <f ca="1">SUM(I25:OFFSET(I45,-1,0))</f>
        <v>0</v>
      </c>
      <c r="J45" s="310"/>
      <c r="K45" s="310">
        <f ca="1">SUM(K25:OFFSET(K45,-1,0))</f>
        <v>0</v>
      </c>
      <c r="M45" s="397"/>
      <c r="N45" s="398"/>
      <c r="O45" s="409">
        <f ca="1">SUM(O25:OFFSET(O45,-1,0))</f>
        <v>0</v>
      </c>
      <c r="R45" s="2"/>
      <c r="T45" s="28"/>
    </row>
    <row r="46" spans="2:20" ht="16.5" thickBot="1">
      <c r="C46" s="46"/>
      <c r="D46" s="46"/>
      <c r="E46" s="46"/>
      <c r="F46" s="46"/>
      <c r="G46" s="46"/>
      <c r="H46" s="38"/>
      <c r="R46" s="2"/>
      <c r="S46" s="28"/>
    </row>
    <row r="47" spans="2:20" ht="15.75">
      <c r="C47" s="513"/>
      <c r="D47" s="514"/>
      <c r="E47" s="514"/>
      <c r="F47" s="514"/>
      <c r="G47" s="514"/>
      <c r="H47" s="410" t="s">
        <v>55</v>
      </c>
      <c r="I47" s="410" t="s">
        <v>257</v>
      </c>
      <c r="J47" s="411" t="s">
        <v>258</v>
      </c>
      <c r="K47" s="399"/>
    </row>
    <row r="48" spans="2:20" ht="15.75">
      <c r="C48" s="515" t="s">
        <v>273</v>
      </c>
      <c r="D48" s="516"/>
      <c r="E48" s="516"/>
      <c r="F48" s="516"/>
      <c r="G48" s="516"/>
      <c r="H48" s="400">
        <f ca="1">O10</f>
        <v>0</v>
      </c>
      <c r="I48" s="401">
        <v>0</v>
      </c>
      <c r="J48" s="412">
        <f ca="1">H48*(1+I48)</f>
        <v>0</v>
      </c>
    </row>
    <row r="49" spans="3:18" ht="15.75">
      <c r="C49" s="515" t="s">
        <v>274</v>
      </c>
      <c r="D49" s="516"/>
      <c r="E49" s="516"/>
      <c r="F49" s="516"/>
      <c r="G49" s="516"/>
      <c r="H49" s="400">
        <f ca="1">K10</f>
        <v>0</v>
      </c>
      <c r="I49" s="401">
        <v>0</v>
      </c>
      <c r="J49" s="412">
        <f ca="1">H49*(1+I49)</f>
        <v>0</v>
      </c>
    </row>
    <row r="50" spans="3:18" ht="15.75">
      <c r="C50" s="517" t="s">
        <v>277</v>
      </c>
      <c r="D50" s="518"/>
      <c r="E50" s="518"/>
      <c r="F50" s="518"/>
      <c r="G50" s="518"/>
      <c r="H50" s="400"/>
      <c r="I50" s="401">
        <v>0</v>
      </c>
      <c r="J50" s="412">
        <f ca="1">K21</f>
        <v>0</v>
      </c>
      <c r="Q50" s="28"/>
      <c r="R50" s="2"/>
    </row>
    <row r="51" spans="3:18" ht="15.75">
      <c r="C51" s="497" t="s">
        <v>275</v>
      </c>
      <c r="D51" s="498"/>
      <c r="E51" s="498"/>
      <c r="F51" s="498"/>
      <c r="G51" s="498"/>
      <c r="H51" s="400">
        <f ca="1">O45</f>
        <v>0</v>
      </c>
      <c r="I51" s="401">
        <v>0</v>
      </c>
      <c r="J51" s="412">
        <f ca="1">H51*(1+I51)</f>
        <v>0</v>
      </c>
    </row>
    <row r="52" spans="3:18" ht="15.75">
      <c r="C52" s="497" t="s">
        <v>276</v>
      </c>
      <c r="D52" s="498"/>
      <c r="E52" s="498"/>
      <c r="F52" s="498"/>
      <c r="G52" s="498"/>
      <c r="H52" s="400">
        <f ca="1">K45</f>
        <v>0</v>
      </c>
      <c r="I52" s="401">
        <v>0</v>
      </c>
      <c r="J52" s="412">
        <f ca="1">H52*(1+I52)</f>
        <v>0</v>
      </c>
    </row>
    <row r="53" spans="3:18" ht="16.5" thickBot="1">
      <c r="C53" s="499" t="s">
        <v>268</v>
      </c>
      <c r="D53" s="500"/>
      <c r="E53" s="500"/>
      <c r="F53" s="500"/>
      <c r="G53" s="500"/>
      <c r="H53" s="413">
        <f ca="1">(H49-H48)+(H52-H51)</f>
        <v>0</v>
      </c>
      <c r="I53" s="414"/>
      <c r="J53" s="415">
        <f ca="1">(J49-J48)+(J52-J51)</f>
        <v>0</v>
      </c>
    </row>
    <row r="54" spans="3:18">
      <c r="I54" s="431" t="s">
        <v>279</v>
      </c>
      <c r="J54" s="429">
        <f ca="1">ROUND(J49+J50+J52,2)</f>
        <v>0</v>
      </c>
    </row>
    <row r="58" spans="3:18">
      <c r="K58" s="432"/>
    </row>
  </sheetData>
  <sheetProtection selectLockedCells="1" selectUnlockedCells="1"/>
  <mergeCells count="13">
    <mergeCell ref="B45:H45"/>
    <mergeCell ref="B1:G1"/>
    <mergeCell ref="B10:H10"/>
    <mergeCell ref="B12:I12"/>
    <mergeCell ref="B21:H21"/>
    <mergeCell ref="B23:I23"/>
    <mergeCell ref="C53:G53"/>
    <mergeCell ref="C47:G47"/>
    <mergeCell ref="C48:G48"/>
    <mergeCell ref="C49:G49"/>
    <mergeCell ref="C50:G50"/>
    <mergeCell ref="C51:G51"/>
    <mergeCell ref="C52:G52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print="0" autoFill="0" autoPict="0" macro="[0]!Add_line5">
                <anchor moveWithCells="1" sizeWithCells="1">
                  <from>
                    <xdr:col>0</xdr:col>
                    <xdr:colOff>152400</xdr:colOff>
                    <xdr:row>23</xdr:row>
                    <xdr:rowOff>9525</xdr:rowOff>
                  </from>
                  <to>
                    <xdr:col>0</xdr:col>
                    <xdr:colOff>447675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6" name="Button 3">
              <controlPr defaultSize="0" print="0" autoFill="0" autoPict="0" macro="[0]!Add_line4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CAB78-070A-4E59-9F3B-9FB90B6FD8E9}">
  <sheetPr codeName="Лист9">
    <tabColor rgb="FFFFFF00"/>
    <pageSetUpPr fitToPage="1"/>
  </sheetPr>
  <dimension ref="A1:AL93"/>
  <sheetViews>
    <sheetView workbookViewId="0"/>
  </sheetViews>
  <sheetFormatPr defaultColWidth="9.140625" defaultRowHeight="12.75"/>
  <cols>
    <col min="1" max="1" width="3.140625" style="107" customWidth="1"/>
    <col min="2" max="2" width="7.42578125" style="107" customWidth="1"/>
    <col min="3" max="3" width="45.42578125" style="107" customWidth="1"/>
    <col min="4" max="4" width="44" style="107" customWidth="1"/>
    <col min="5" max="5" width="24.140625" style="107" customWidth="1"/>
    <col min="6" max="6" width="27.5703125" style="107" customWidth="1"/>
    <col min="7" max="7" width="8" style="107" bestFit="1" customWidth="1"/>
    <col min="8" max="8" width="19.42578125" style="107" customWidth="1"/>
    <col min="9" max="9" width="14.85546875" style="107" customWidth="1"/>
    <col min="10" max="10" width="20.140625" style="107" customWidth="1"/>
    <col min="11" max="11" width="20.28515625" style="107" customWidth="1"/>
    <col min="12" max="12" width="15.5703125" style="107" customWidth="1"/>
    <col min="13" max="13" width="16.85546875" style="107" customWidth="1"/>
    <col min="14" max="14" width="17.42578125" style="107" bestFit="1" customWidth="1"/>
    <col min="15" max="16" width="18" style="107" customWidth="1"/>
    <col min="17" max="17" width="19.85546875" style="107" customWidth="1"/>
    <col min="18" max="18" width="20.5703125" style="107" customWidth="1"/>
    <col min="19" max="19" width="2.85546875" style="107" customWidth="1"/>
    <col min="20" max="20" width="23.85546875" style="107" customWidth="1"/>
    <col min="21" max="21" width="9.140625" style="107" customWidth="1"/>
    <col min="22" max="22" width="67.7109375" style="107" customWidth="1"/>
    <col min="23" max="23" width="43.7109375" style="107" customWidth="1"/>
    <col min="24" max="24" width="39.7109375" style="107" customWidth="1"/>
    <col min="25" max="25" width="9.28515625" style="107" customWidth="1"/>
    <col min="26" max="26" width="18.140625" style="107" customWidth="1"/>
    <col min="27" max="27" width="55.28515625" style="107" customWidth="1"/>
    <col min="28" max="28" width="61" style="107" bestFit="1" customWidth="1"/>
    <col min="29" max="29" width="9.140625" style="107"/>
    <col min="30" max="30" width="30.85546875" style="107" bestFit="1" customWidth="1"/>
    <col min="31" max="31" width="9.140625" style="107"/>
    <col min="32" max="32" width="61" style="107" bestFit="1" customWidth="1"/>
    <col min="33" max="33" width="9.140625" style="107"/>
    <col min="34" max="34" width="61" style="107" bestFit="1" customWidth="1"/>
    <col min="35" max="35" width="9" style="107" customWidth="1"/>
    <col min="36" max="16384" width="9.140625" style="107"/>
  </cols>
  <sheetData>
    <row r="1" spans="1:20" ht="12.75" customHeight="1">
      <c r="A1" s="18"/>
      <c r="B1" s="524" t="s">
        <v>15</v>
      </c>
      <c r="C1" s="524"/>
      <c r="D1" s="524"/>
      <c r="E1" s="524"/>
      <c r="F1" s="524"/>
      <c r="G1" s="524"/>
      <c r="H1" s="524"/>
      <c r="I1" s="524"/>
      <c r="J1" s="524"/>
      <c r="K1" s="524"/>
      <c r="L1" s="524"/>
      <c r="M1" s="524"/>
      <c r="N1" s="524"/>
      <c r="O1" s="524"/>
      <c r="P1" s="524"/>
      <c r="Q1" s="524"/>
      <c r="R1" s="524"/>
      <c r="S1" s="108"/>
      <c r="T1" s="108"/>
    </row>
    <row r="2" spans="1:20" ht="15.75">
      <c r="A2" s="19"/>
      <c r="B2" s="524"/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4"/>
      <c r="Q2" s="524"/>
      <c r="R2" s="524"/>
      <c r="S2" s="108"/>
      <c r="T2" s="108"/>
    </row>
    <row r="3" spans="1:20" ht="12.75" customHeight="1">
      <c r="A3" s="20"/>
      <c r="B3" s="524"/>
      <c r="C3" s="524"/>
      <c r="D3" s="524"/>
      <c r="E3" s="524"/>
      <c r="F3" s="524"/>
      <c r="G3" s="524"/>
      <c r="H3" s="524"/>
      <c r="I3" s="524"/>
      <c r="J3" s="524"/>
      <c r="K3" s="524"/>
      <c r="L3" s="524"/>
      <c r="M3" s="524"/>
      <c r="N3" s="524"/>
      <c r="O3" s="524"/>
      <c r="P3" s="524"/>
      <c r="Q3" s="524"/>
      <c r="R3" s="524"/>
      <c r="S3" s="108"/>
      <c r="T3" s="108"/>
    </row>
    <row r="4" spans="1:20" s="108" customFormat="1" ht="14.25"/>
    <row r="5" spans="1:20" s="108" customFormat="1" ht="54.75" customHeight="1" thickBot="1">
      <c r="B5" s="109" t="s">
        <v>7</v>
      </c>
      <c r="C5" s="109" t="s">
        <v>3</v>
      </c>
      <c r="D5" s="109" t="s">
        <v>94</v>
      </c>
    </row>
    <row r="6" spans="1:20" s="108" customFormat="1" ht="15" thickTop="1">
      <c r="B6" s="110" t="s">
        <v>9</v>
      </c>
      <c r="C6" s="111" t="s">
        <v>5</v>
      </c>
      <c r="D6" s="112">
        <v>25000</v>
      </c>
      <c r="F6" s="525" t="s">
        <v>33</v>
      </c>
      <c r="G6" s="526"/>
      <c r="H6" s="105"/>
      <c r="I6" s="113">
        <f>SUM(J16:J39)</f>
        <v>0</v>
      </c>
    </row>
    <row r="7" spans="1:20" s="108" customFormat="1" ht="14.25">
      <c r="B7" s="114" t="s">
        <v>4</v>
      </c>
      <c r="C7" s="115" t="s">
        <v>6</v>
      </c>
      <c r="D7" s="116">
        <v>700</v>
      </c>
      <c r="F7" s="527" t="s">
        <v>30</v>
      </c>
      <c r="G7" s="528"/>
      <c r="H7" s="117"/>
      <c r="I7" s="118">
        <f>SUM(R16:R39)</f>
        <v>0</v>
      </c>
    </row>
    <row r="8" spans="1:20" s="108" customFormat="1" ht="14.25">
      <c r="B8" s="110" t="s">
        <v>8</v>
      </c>
      <c r="C8" s="111" t="s">
        <v>14</v>
      </c>
      <c r="D8" s="112">
        <v>5500</v>
      </c>
      <c r="F8" s="119" t="s">
        <v>34</v>
      </c>
      <c r="G8" s="120">
        <f>IFERROR(I8/I7*100,0)</f>
        <v>0</v>
      </c>
      <c r="H8" s="121"/>
      <c r="I8" s="113">
        <f>I7-I6</f>
        <v>0</v>
      </c>
    </row>
    <row r="9" spans="1:20" s="108" customFormat="1" ht="14.25">
      <c r="B9" s="114"/>
      <c r="C9" s="114"/>
      <c r="D9" s="114"/>
    </row>
    <row r="10" spans="1:20" s="108" customFormat="1" ht="14.25">
      <c r="B10" s="110"/>
      <c r="C10" s="110"/>
      <c r="D10" s="110"/>
    </row>
    <row r="11" spans="1:20" s="108" customFormat="1" ht="14.25">
      <c r="B11" s="114"/>
      <c r="C11" s="114"/>
      <c r="D11" s="114"/>
    </row>
    <row r="12" spans="1:20" s="108" customFormat="1" ht="14.25">
      <c r="B12" s="110"/>
      <c r="C12" s="110"/>
      <c r="D12" s="110"/>
    </row>
    <row r="13" spans="1:20" s="108" customFormat="1" ht="14.25"/>
    <row r="14" spans="1:20" s="108" customFormat="1" ht="14.25"/>
    <row r="15" spans="1:20" s="108" customFormat="1" ht="63" customHeight="1" thickBot="1">
      <c r="B15" s="109" t="s">
        <v>7</v>
      </c>
      <c r="C15" s="122" t="s">
        <v>17</v>
      </c>
      <c r="D15" s="122" t="s">
        <v>78</v>
      </c>
      <c r="E15" s="122" t="s">
        <v>79</v>
      </c>
      <c r="F15" s="109" t="s">
        <v>83</v>
      </c>
      <c r="G15" s="109" t="s">
        <v>80</v>
      </c>
      <c r="H15" s="109" t="s">
        <v>16</v>
      </c>
      <c r="I15" s="109" t="s">
        <v>31</v>
      </c>
      <c r="J15" s="122" t="s">
        <v>18</v>
      </c>
      <c r="K15" s="122" t="s">
        <v>6</v>
      </c>
      <c r="L15" s="109" t="s">
        <v>21</v>
      </c>
      <c r="M15" s="109" t="s">
        <v>19</v>
      </c>
      <c r="N15" s="109" t="s">
        <v>32</v>
      </c>
      <c r="O15" s="109" t="s">
        <v>20</v>
      </c>
      <c r="P15" s="109" t="s">
        <v>45</v>
      </c>
      <c r="Q15" s="109" t="s">
        <v>40</v>
      </c>
      <c r="R15" s="109" t="s">
        <v>37</v>
      </c>
    </row>
    <row r="16" spans="1:20" s="108" customFormat="1" ht="15" thickTop="1">
      <c r="B16" s="110">
        <v>1</v>
      </c>
      <c r="C16" s="103" t="s">
        <v>28</v>
      </c>
      <c r="D16" s="103" t="s">
        <v>117</v>
      </c>
      <c r="E16" s="103" t="s">
        <v>12</v>
      </c>
      <c r="F16" s="103" t="s">
        <v>118</v>
      </c>
      <c r="G16" s="123">
        <f t="shared" ref="G16:G39" si="0">IFERROR(VLOOKUP(F16,$W$82:$X$93,2,0),"")</f>
        <v>12</v>
      </c>
      <c r="H16" s="123">
        <f t="shared" ref="H16:H39" si="1">IFERROR(VLOOKUP(F16,$W$82:$Y$93,3,0),"")</f>
        <v>3500</v>
      </c>
      <c r="I16" s="123"/>
      <c r="J16" s="124">
        <f>IFERROR(H16*I16,"")</f>
        <v>0</v>
      </c>
      <c r="K16" s="124">
        <f>$D$7*N16*Q16</f>
        <v>0</v>
      </c>
      <c r="L16" s="124">
        <f t="shared" ref="L16:L22" si="2">IF(Q16=0, 0,$D$8*N16*(Q16))</f>
        <v>0</v>
      </c>
      <c r="M16" s="124">
        <f t="shared" ref="M16:M39" si="3">IF(P16="да",($D$6*N16),0)</f>
        <v>0</v>
      </c>
      <c r="N16" s="123"/>
      <c r="O16" s="123">
        <f>IFERROR(I16/40/N16,0)</f>
        <v>0</v>
      </c>
      <c r="P16" s="123" t="s">
        <v>47</v>
      </c>
      <c r="Q16" s="123">
        <f>IF(P16="да",IFERROR(CEILING(I16/8/N16+1*N16,1),0),0)</f>
        <v>0</v>
      </c>
      <c r="R16" s="123">
        <f>IFERROR(SUM(J16,K16,L16,M16),"")</f>
        <v>0</v>
      </c>
    </row>
    <row r="17" spans="2:38" s="108" customFormat="1" ht="14.25">
      <c r="B17" s="114">
        <v>2</v>
      </c>
      <c r="C17" s="104" t="s">
        <v>49</v>
      </c>
      <c r="D17" s="104" t="s">
        <v>117</v>
      </c>
      <c r="E17" s="104" t="s">
        <v>12</v>
      </c>
      <c r="F17" s="104"/>
      <c r="G17" s="125" t="str">
        <f t="shared" si="0"/>
        <v/>
      </c>
      <c r="H17" s="125" t="str">
        <f t="shared" si="1"/>
        <v/>
      </c>
      <c r="I17" s="125"/>
      <c r="J17" s="126" t="str">
        <f t="shared" ref="J17:J39" si="4">IFERROR(H17*I17,"")</f>
        <v/>
      </c>
      <c r="K17" s="126">
        <f t="shared" ref="K17:K39" si="5">$D$7*N17*Q17</f>
        <v>0</v>
      </c>
      <c r="L17" s="126">
        <f t="shared" si="2"/>
        <v>0</v>
      </c>
      <c r="M17" s="126">
        <f t="shared" si="3"/>
        <v>0</v>
      </c>
      <c r="N17" s="125"/>
      <c r="O17" s="125">
        <f t="shared" ref="O17:O39" si="6">IFERROR(I17/40/N17,0)</f>
        <v>0</v>
      </c>
      <c r="P17" s="125" t="s">
        <v>47</v>
      </c>
      <c r="Q17" s="125">
        <f t="shared" ref="Q17:Q39" si="7">IF(P17="да",IFERROR(CEILING(I17/8/N17+1*N17,1),0),0)</f>
        <v>0</v>
      </c>
      <c r="R17" s="125">
        <f t="shared" ref="R17:R39" si="8">IFERROR(SUM(J17,K17,L17,M17),"")</f>
        <v>0</v>
      </c>
    </row>
    <row r="18" spans="2:38" s="108" customFormat="1" ht="14.25">
      <c r="B18" s="110">
        <v>3</v>
      </c>
      <c r="C18" s="103" t="s">
        <v>24</v>
      </c>
      <c r="D18" s="103" t="s">
        <v>117</v>
      </c>
      <c r="E18" s="103" t="s">
        <v>12</v>
      </c>
      <c r="F18" s="103"/>
      <c r="G18" s="123" t="str">
        <f t="shared" si="0"/>
        <v/>
      </c>
      <c r="H18" s="123" t="str">
        <f t="shared" si="1"/>
        <v/>
      </c>
      <c r="I18" s="123"/>
      <c r="J18" s="124" t="str">
        <f t="shared" si="4"/>
        <v/>
      </c>
      <c r="K18" s="124">
        <f t="shared" si="5"/>
        <v>0</v>
      </c>
      <c r="L18" s="124">
        <f t="shared" si="2"/>
        <v>0</v>
      </c>
      <c r="M18" s="124">
        <f t="shared" si="3"/>
        <v>0</v>
      </c>
      <c r="N18" s="123"/>
      <c r="O18" s="123">
        <f t="shared" si="6"/>
        <v>0</v>
      </c>
      <c r="P18" s="123" t="s">
        <v>47</v>
      </c>
      <c r="Q18" s="123">
        <f t="shared" si="7"/>
        <v>0</v>
      </c>
      <c r="R18" s="123">
        <f t="shared" si="8"/>
        <v>0</v>
      </c>
    </row>
    <row r="19" spans="2:38" s="108" customFormat="1" ht="14.25">
      <c r="B19" s="114">
        <v>4</v>
      </c>
      <c r="C19" s="104" t="s">
        <v>25</v>
      </c>
      <c r="D19" s="104" t="s">
        <v>81</v>
      </c>
      <c r="E19" s="104" t="s">
        <v>90</v>
      </c>
      <c r="F19" s="104"/>
      <c r="G19" s="125" t="str">
        <f t="shared" si="0"/>
        <v/>
      </c>
      <c r="H19" s="125" t="str">
        <f t="shared" si="1"/>
        <v/>
      </c>
      <c r="I19" s="125"/>
      <c r="J19" s="126" t="str">
        <f t="shared" si="4"/>
        <v/>
      </c>
      <c r="K19" s="126">
        <f t="shared" si="5"/>
        <v>0</v>
      </c>
      <c r="L19" s="126">
        <f t="shared" si="2"/>
        <v>0</v>
      </c>
      <c r="M19" s="126">
        <f t="shared" si="3"/>
        <v>0</v>
      </c>
      <c r="N19" s="125"/>
      <c r="O19" s="125">
        <f t="shared" si="6"/>
        <v>0</v>
      </c>
      <c r="P19" s="125" t="s">
        <v>47</v>
      </c>
      <c r="Q19" s="125">
        <f t="shared" si="7"/>
        <v>0</v>
      </c>
      <c r="R19" s="125">
        <f t="shared" si="8"/>
        <v>0</v>
      </c>
    </row>
    <row r="20" spans="2:38" s="108" customFormat="1" ht="14.25">
      <c r="B20" s="110">
        <v>5</v>
      </c>
      <c r="C20" s="103" t="s">
        <v>26</v>
      </c>
      <c r="D20" s="103" t="s">
        <v>117</v>
      </c>
      <c r="E20" s="103" t="s">
        <v>12</v>
      </c>
      <c r="F20" s="103" t="s">
        <v>118</v>
      </c>
      <c r="G20" s="123">
        <f t="shared" si="0"/>
        <v>12</v>
      </c>
      <c r="H20" s="123">
        <f>IFERROR(VLOOKUP(F20,$W$82:$Y$93,3,0),"")</f>
        <v>3500</v>
      </c>
      <c r="I20" s="123"/>
      <c r="J20" s="124">
        <f t="shared" si="4"/>
        <v>0</v>
      </c>
      <c r="K20" s="124">
        <f t="shared" si="5"/>
        <v>0</v>
      </c>
      <c r="L20" s="124">
        <f t="shared" si="2"/>
        <v>0</v>
      </c>
      <c r="M20" s="124">
        <f t="shared" si="3"/>
        <v>0</v>
      </c>
      <c r="N20" s="123"/>
      <c r="O20" s="123">
        <f t="shared" si="6"/>
        <v>0</v>
      </c>
      <c r="P20" s="123" t="s">
        <v>47</v>
      </c>
      <c r="Q20" s="123">
        <f t="shared" si="7"/>
        <v>0</v>
      </c>
      <c r="R20" s="123">
        <f t="shared" si="8"/>
        <v>0</v>
      </c>
    </row>
    <row r="21" spans="2:38" s="108" customFormat="1" ht="14.25">
      <c r="B21" s="114">
        <v>6</v>
      </c>
      <c r="C21" s="104" t="s">
        <v>27</v>
      </c>
      <c r="D21" s="104" t="s">
        <v>117</v>
      </c>
      <c r="E21" s="104" t="s">
        <v>12</v>
      </c>
      <c r="F21" s="104" t="s">
        <v>118</v>
      </c>
      <c r="G21" s="125">
        <f t="shared" si="0"/>
        <v>12</v>
      </c>
      <c r="H21" s="125">
        <f t="shared" si="1"/>
        <v>3500</v>
      </c>
      <c r="I21" s="125"/>
      <c r="J21" s="126">
        <f t="shared" si="4"/>
        <v>0</v>
      </c>
      <c r="K21" s="126">
        <f t="shared" si="5"/>
        <v>0</v>
      </c>
      <c r="L21" s="126">
        <f t="shared" si="2"/>
        <v>0</v>
      </c>
      <c r="M21" s="126">
        <f t="shared" si="3"/>
        <v>0</v>
      </c>
      <c r="N21" s="125">
        <v>1</v>
      </c>
      <c r="O21" s="125">
        <f t="shared" si="6"/>
        <v>0</v>
      </c>
      <c r="P21" s="125" t="s">
        <v>47</v>
      </c>
      <c r="Q21" s="125">
        <f t="shared" si="7"/>
        <v>0</v>
      </c>
      <c r="R21" s="125">
        <f t="shared" si="8"/>
        <v>0</v>
      </c>
    </row>
    <row r="22" spans="2:38" s="108" customFormat="1" ht="14.25">
      <c r="B22" s="110">
        <v>7</v>
      </c>
      <c r="C22" s="105" t="s">
        <v>191</v>
      </c>
      <c r="D22" s="105" t="s">
        <v>117</v>
      </c>
      <c r="E22" s="105" t="s">
        <v>12</v>
      </c>
      <c r="F22" s="105" t="s">
        <v>118</v>
      </c>
      <c r="G22" s="123">
        <f t="shared" si="0"/>
        <v>12</v>
      </c>
      <c r="H22" s="123">
        <f t="shared" si="1"/>
        <v>3500</v>
      </c>
      <c r="I22" s="123"/>
      <c r="J22" s="124">
        <f t="shared" si="4"/>
        <v>0</v>
      </c>
      <c r="K22" s="124">
        <f t="shared" si="5"/>
        <v>0</v>
      </c>
      <c r="L22" s="124">
        <f t="shared" si="2"/>
        <v>0</v>
      </c>
      <c r="M22" s="124">
        <f t="shared" si="3"/>
        <v>0</v>
      </c>
      <c r="N22" s="123">
        <v>1</v>
      </c>
      <c r="O22" s="123">
        <f t="shared" si="6"/>
        <v>0</v>
      </c>
      <c r="P22" s="123" t="s">
        <v>47</v>
      </c>
      <c r="Q22" s="123">
        <f t="shared" si="7"/>
        <v>0</v>
      </c>
      <c r="R22" s="123">
        <f t="shared" si="8"/>
        <v>0</v>
      </c>
    </row>
    <row r="23" spans="2:38" s="108" customFormat="1" ht="14.25">
      <c r="B23" s="114">
        <v>8</v>
      </c>
      <c r="C23" s="127" t="s">
        <v>35</v>
      </c>
      <c r="D23" s="127" t="s">
        <v>117</v>
      </c>
      <c r="E23" s="127" t="s">
        <v>12</v>
      </c>
      <c r="F23" s="104" t="s">
        <v>118</v>
      </c>
      <c r="G23" s="125">
        <f t="shared" si="0"/>
        <v>12</v>
      </c>
      <c r="H23" s="125">
        <f t="shared" si="1"/>
        <v>3500</v>
      </c>
      <c r="I23" s="125"/>
      <c r="J23" s="126">
        <f t="shared" si="4"/>
        <v>0</v>
      </c>
      <c r="K23" s="126">
        <f t="shared" si="5"/>
        <v>0</v>
      </c>
      <c r="L23" s="126">
        <f t="shared" ref="L23:L39" si="9">IF(Q23=0, 0,$D$8*N23*(Q23))</f>
        <v>0</v>
      </c>
      <c r="M23" s="126">
        <f t="shared" si="3"/>
        <v>0</v>
      </c>
      <c r="N23" s="125">
        <v>2</v>
      </c>
      <c r="O23" s="125">
        <f t="shared" si="6"/>
        <v>0</v>
      </c>
      <c r="P23" s="125" t="s">
        <v>47</v>
      </c>
      <c r="Q23" s="125">
        <f t="shared" si="7"/>
        <v>0</v>
      </c>
      <c r="R23" s="125">
        <f>IFERROR(SUM(J23,K23,L23,M23),"")</f>
        <v>0</v>
      </c>
    </row>
    <row r="24" spans="2:38" s="108" customFormat="1" ht="14.25">
      <c r="B24" s="110">
        <v>9</v>
      </c>
      <c r="C24" s="105" t="s">
        <v>50</v>
      </c>
      <c r="D24" s="105" t="s">
        <v>117</v>
      </c>
      <c r="E24" s="105" t="s">
        <v>12</v>
      </c>
      <c r="F24" s="105"/>
      <c r="G24" s="123" t="str">
        <f t="shared" si="0"/>
        <v/>
      </c>
      <c r="H24" s="123" t="str">
        <f t="shared" si="1"/>
        <v/>
      </c>
      <c r="I24" s="123"/>
      <c r="J24" s="124" t="str">
        <f t="shared" si="4"/>
        <v/>
      </c>
      <c r="K24" s="124">
        <f t="shared" si="5"/>
        <v>0</v>
      </c>
      <c r="L24" s="124">
        <f t="shared" si="9"/>
        <v>0</v>
      </c>
      <c r="M24" s="124">
        <f t="shared" si="3"/>
        <v>0</v>
      </c>
      <c r="N24" s="123"/>
      <c r="O24" s="123">
        <f t="shared" si="6"/>
        <v>0</v>
      </c>
      <c r="P24" s="123" t="s">
        <v>47</v>
      </c>
      <c r="Q24" s="123">
        <f t="shared" si="7"/>
        <v>0</v>
      </c>
      <c r="R24" s="123">
        <f t="shared" si="8"/>
        <v>0</v>
      </c>
    </row>
    <row r="25" spans="2:38" s="108" customFormat="1" ht="14.25">
      <c r="B25" s="114">
        <v>10</v>
      </c>
      <c r="C25" s="127" t="s">
        <v>125</v>
      </c>
      <c r="D25" s="127" t="s">
        <v>117</v>
      </c>
      <c r="E25" s="127" t="s">
        <v>12</v>
      </c>
      <c r="F25" s="127"/>
      <c r="G25" s="125" t="str">
        <f t="shared" si="0"/>
        <v/>
      </c>
      <c r="H25" s="125" t="str">
        <f t="shared" si="1"/>
        <v/>
      </c>
      <c r="I25" s="125"/>
      <c r="J25" s="126" t="str">
        <f t="shared" si="4"/>
        <v/>
      </c>
      <c r="K25" s="126">
        <f t="shared" si="5"/>
        <v>0</v>
      </c>
      <c r="L25" s="126">
        <f t="shared" si="9"/>
        <v>0</v>
      </c>
      <c r="M25" s="126">
        <f t="shared" si="3"/>
        <v>0</v>
      </c>
      <c r="N25" s="125"/>
      <c r="O25" s="125">
        <f t="shared" si="6"/>
        <v>0</v>
      </c>
      <c r="P25" s="125" t="s">
        <v>47</v>
      </c>
      <c r="Q25" s="125">
        <f t="shared" si="7"/>
        <v>0</v>
      </c>
      <c r="R25" s="125">
        <f t="shared" si="8"/>
        <v>0</v>
      </c>
    </row>
    <row r="26" spans="2:38" s="108" customFormat="1" ht="14.25">
      <c r="B26" s="110">
        <v>11</v>
      </c>
      <c r="C26" s="105" t="s">
        <v>119</v>
      </c>
      <c r="D26" s="105" t="s">
        <v>121</v>
      </c>
      <c r="E26" s="105" t="s">
        <v>120</v>
      </c>
      <c r="F26" s="105"/>
      <c r="G26" s="123" t="str">
        <f t="shared" si="0"/>
        <v/>
      </c>
      <c r="H26" s="123" t="str">
        <f t="shared" si="1"/>
        <v/>
      </c>
      <c r="I26" s="123"/>
      <c r="J26" s="124" t="str">
        <f t="shared" si="4"/>
        <v/>
      </c>
      <c r="K26" s="124">
        <f t="shared" si="5"/>
        <v>0</v>
      </c>
      <c r="L26" s="124">
        <f t="shared" si="9"/>
        <v>0</v>
      </c>
      <c r="M26" s="124">
        <f t="shared" si="3"/>
        <v>0</v>
      </c>
      <c r="N26" s="123"/>
      <c r="O26" s="123">
        <f t="shared" si="6"/>
        <v>0</v>
      </c>
      <c r="P26" s="123" t="s">
        <v>47</v>
      </c>
      <c r="Q26" s="123">
        <f t="shared" si="7"/>
        <v>0</v>
      </c>
      <c r="R26" s="123">
        <f t="shared" si="8"/>
        <v>0</v>
      </c>
    </row>
    <row r="27" spans="2:38" s="108" customFormat="1" ht="14.25">
      <c r="B27" s="114">
        <v>12</v>
      </c>
      <c r="C27" s="127"/>
      <c r="D27" s="127"/>
      <c r="E27" s="127"/>
      <c r="F27" s="127"/>
      <c r="G27" s="125" t="str">
        <f t="shared" si="0"/>
        <v/>
      </c>
      <c r="H27" s="125" t="str">
        <f t="shared" si="1"/>
        <v/>
      </c>
      <c r="I27" s="125"/>
      <c r="J27" s="126" t="str">
        <f t="shared" si="4"/>
        <v/>
      </c>
      <c r="K27" s="126">
        <f t="shared" si="5"/>
        <v>0</v>
      </c>
      <c r="L27" s="126">
        <f t="shared" si="9"/>
        <v>0</v>
      </c>
      <c r="M27" s="126">
        <f t="shared" si="3"/>
        <v>0</v>
      </c>
      <c r="N27" s="125"/>
      <c r="O27" s="125">
        <f t="shared" si="6"/>
        <v>0</v>
      </c>
      <c r="P27" s="125" t="s">
        <v>46</v>
      </c>
      <c r="Q27" s="125">
        <f t="shared" si="7"/>
        <v>0</v>
      </c>
      <c r="R27" s="125">
        <f t="shared" si="8"/>
        <v>0</v>
      </c>
    </row>
    <row r="28" spans="2:38" ht="14.25">
      <c r="B28" s="110">
        <v>13</v>
      </c>
      <c r="C28" s="105"/>
      <c r="D28" s="105"/>
      <c r="E28" s="105"/>
      <c r="F28" s="105"/>
      <c r="G28" s="123" t="str">
        <f t="shared" si="0"/>
        <v/>
      </c>
      <c r="H28" s="123" t="str">
        <f t="shared" si="1"/>
        <v/>
      </c>
      <c r="I28" s="123"/>
      <c r="J28" s="124" t="str">
        <f t="shared" si="4"/>
        <v/>
      </c>
      <c r="K28" s="124">
        <f t="shared" si="5"/>
        <v>0</v>
      </c>
      <c r="L28" s="124">
        <f t="shared" si="9"/>
        <v>0</v>
      </c>
      <c r="M28" s="124">
        <f t="shared" si="3"/>
        <v>0</v>
      </c>
      <c r="N28" s="123"/>
      <c r="O28" s="123">
        <f t="shared" si="6"/>
        <v>0</v>
      </c>
      <c r="P28" s="123" t="s">
        <v>46</v>
      </c>
      <c r="Q28" s="123">
        <f t="shared" si="7"/>
        <v>0</v>
      </c>
      <c r="R28" s="123">
        <f t="shared" si="8"/>
        <v>0</v>
      </c>
      <c r="AD28" s="128"/>
      <c r="AE28" s="108"/>
      <c r="AF28" s="108"/>
      <c r="AG28" s="108"/>
      <c r="AH28" s="108"/>
      <c r="AI28" s="108"/>
      <c r="AJ28" s="108"/>
      <c r="AK28" s="108"/>
      <c r="AL28" s="108"/>
    </row>
    <row r="29" spans="2:38" ht="14.25">
      <c r="B29" s="114">
        <v>14</v>
      </c>
      <c r="C29" s="127"/>
      <c r="D29" s="127"/>
      <c r="E29" s="127"/>
      <c r="F29" s="127"/>
      <c r="G29" s="125" t="str">
        <f t="shared" si="0"/>
        <v/>
      </c>
      <c r="H29" s="125" t="str">
        <f t="shared" si="1"/>
        <v/>
      </c>
      <c r="I29" s="125"/>
      <c r="J29" s="126" t="str">
        <f t="shared" si="4"/>
        <v/>
      </c>
      <c r="K29" s="126">
        <f t="shared" si="5"/>
        <v>0</v>
      </c>
      <c r="L29" s="126">
        <f t="shared" si="9"/>
        <v>0</v>
      </c>
      <c r="M29" s="126">
        <f t="shared" si="3"/>
        <v>0</v>
      </c>
      <c r="N29" s="125"/>
      <c r="O29" s="125">
        <f t="shared" si="6"/>
        <v>0</v>
      </c>
      <c r="P29" s="125" t="s">
        <v>46</v>
      </c>
      <c r="Q29" s="125">
        <f t="shared" si="7"/>
        <v>0</v>
      </c>
      <c r="R29" s="125">
        <f t="shared" si="8"/>
        <v>0</v>
      </c>
      <c r="AE29" s="108"/>
      <c r="AF29" s="108"/>
      <c r="AG29" s="108"/>
      <c r="AH29" s="108"/>
      <c r="AI29" s="108"/>
      <c r="AJ29" s="108"/>
      <c r="AK29" s="108"/>
      <c r="AL29" s="108"/>
    </row>
    <row r="30" spans="2:38" ht="14.25">
      <c r="B30" s="110">
        <v>15</v>
      </c>
      <c r="C30" s="105"/>
      <c r="D30" s="105"/>
      <c r="E30" s="105"/>
      <c r="F30" s="105"/>
      <c r="G30" s="123" t="str">
        <f t="shared" si="0"/>
        <v/>
      </c>
      <c r="H30" s="123" t="str">
        <f t="shared" si="1"/>
        <v/>
      </c>
      <c r="I30" s="123"/>
      <c r="J30" s="124" t="str">
        <f t="shared" si="4"/>
        <v/>
      </c>
      <c r="K30" s="124">
        <f t="shared" si="5"/>
        <v>0</v>
      </c>
      <c r="L30" s="124">
        <f t="shared" si="9"/>
        <v>0</v>
      </c>
      <c r="M30" s="124">
        <f t="shared" si="3"/>
        <v>0</v>
      </c>
      <c r="N30" s="123"/>
      <c r="O30" s="123">
        <f t="shared" si="6"/>
        <v>0</v>
      </c>
      <c r="P30" s="123" t="s">
        <v>46</v>
      </c>
      <c r="Q30" s="123">
        <f t="shared" si="7"/>
        <v>0</v>
      </c>
      <c r="R30" s="123">
        <f t="shared" si="8"/>
        <v>0</v>
      </c>
      <c r="AE30" s="108"/>
      <c r="AF30" s="108"/>
      <c r="AG30" s="108"/>
      <c r="AH30" s="108"/>
      <c r="AI30" s="108"/>
      <c r="AJ30" s="108"/>
      <c r="AK30" s="108"/>
      <c r="AL30" s="108"/>
    </row>
    <row r="31" spans="2:38" ht="14.25">
      <c r="B31" s="114">
        <v>16</v>
      </c>
      <c r="C31" s="127"/>
      <c r="D31" s="127"/>
      <c r="E31" s="127"/>
      <c r="F31" s="127"/>
      <c r="G31" s="125" t="str">
        <f t="shared" si="0"/>
        <v/>
      </c>
      <c r="H31" s="125" t="str">
        <f t="shared" si="1"/>
        <v/>
      </c>
      <c r="I31" s="125"/>
      <c r="J31" s="126" t="str">
        <f t="shared" si="4"/>
        <v/>
      </c>
      <c r="K31" s="126">
        <f t="shared" si="5"/>
        <v>0</v>
      </c>
      <c r="L31" s="126">
        <f t="shared" si="9"/>
        <v>0</v>
      </c>
      <c r="M31" s="126">
        <f t="shared" si="3"/>
        <v>0</v>
      </c>
      <c r="N31" s="125"/>
      <c r="O31" s="125">
        <f t="shared" si="6"/>
        <v>0</v>
      </c>
      <c r="P31" s="125" t="s">
        <v>46</v>
      </c>
      <c r="Q31" s="125">
        <f t="shared" si="7"/>
        <v>0</v>
      </c>
      <c r="R31" s="125">
        <f t="shared" si="8"/>
        <v>0</v>
      </c>
      <c r="AE31" s="108"/>
      <c r="AF31" s="108"/>
      <c r="AG31" s="108"/>
      <c r="AH31" s="108"/>
      <c r="AI31" s="108"/>
      <c r="AJ31" s="108"/>
      <c r="AK31" s="108"/>
      <c r="AL31" s="108"/>
    </row>
    <row r="32" spans="2:38" ht="14.25">
      <c r="B32" s="110">
        <v>17</v>
      </c>
      <c r="C32" s="105"/>
      <c r="D32" s="105"/>
      <c r="E32" s="105"/>
      <c r="F32" s="105"/>
      <c r="G32" s="123" t="str">
        <f t="shared" si="0"/>
        <v/>
      </c>
      <c r="H32" s="123" t="str">
        <f t="shared" si="1"/>
        <v/>
      </c>
      <c r="I32" s="123"/>
      <c r="J32" s="124" t="str">
        <f t="shared" si="4"/>
        <v/>
      </c>
      <c r="K32" s="124">
        <f t="shared" si="5"/>
        <v>0</v>
      </c>
      <c r="L32" s="124">
        <f t="shared" si="9"/>
        <v>0</v>
      </c>
      <c r="M32" s="124">
        <f t="shared" si="3"/>
        <v>0</v>
      </c>
      <c r="N32" s="123"/>
      <c r="O32" s="123">
        <f t="shared" si="6"/>
        <v>0</v>
      </c>
      <c r="P32" s="123" t="s">
        <v>46</v>
      </c>
      <c r="Q32" s="123">
        <f t="shared" si="7"/>
        <v>0</v>
      </c>
      <c r="R32" s="123">
        <f t="shared" si="8"/>
        <v>0</v>
      </c>
      <c r="AE32" s="108"/>
      <c r="AF32" s="108"/>
      <c r="AG32" s="108"/>
      <c r="AH32" s="108"/>
      <c r="AI32" s="108"/>
      <c r="AJ32" s="108"/>
      <c r="AK32" s="108"/>
      <c r="AL32" s="108"/>
    </row>
    <row r="33" spans="2:38" ht="14.25">
      <c r="B33" s="114">
        <v>18</v>
      </c>
      <c r="C33" s="127"/>
      <c r="D33" s="127"/>
      <c r="E33" s="127"/>
      <c r="F33" s="127"/>
      <c r="G33" s="125" t="str">
        <f t="shared" si="0"/>
        <v/>
      </c>
      <c r="H33" s="125" t="str">
        <f t="shared" si="1"/>
        <v/>
      </c>
      <c r="I33" s="125"/>
      <c r="J33" s="126" t="str">
        <f t="shared" si="4"/>
        <v/>
      </c>
      <c r="K33" s="126">
        <f t="shared" si="5"/>
        <v>0</v>
      </c>
      <c r="L33" s="126">
        <f t="shared" si="9"/>
        <v>0</v>
      </c>
      <c r="M33" s="126">
        <f t="shared" si="3"/>
        <v>0</v>
      </c>
      <c r="N33" s="125"/>
      <c r="O33" s="125">
        <f t="shared" si="6"/>
        <v>0</v>
      </c>
      <c r="P33" s="125" t="s">
        <v>46</v>
      </c>
      <c r="Q33" s="125">
        <f t="shared" si="7"/>
        <v>0</v>
      </c>
      <c r="R33" s="125">
        <f t="shared" si="8"/>
        <v>0</v>
      </c>
      <c r="AE33" s="108"/>
      <c r="AF33" s="108"/>
      <c r="AG33" s="108"/>
      <c r="AH33" s="108"/>
      <c r="AI33" s="108"/>
      <c r="AJ33" s="108"/>
      <c r="AK33" s="108"/>
      <c r="AL33" s="108"/>
    </row>
    <row r="34" spans="2:38" ht="14.25">
      <c r="B34" s="110">
        <v>19</v>
      </c>
      <c r="C34" s="105"/>
      <c r="D34" s="105"/>
      <c r="E34" s="105"/>
      <c r="F34" s="105"/>
      <c r="G34" s="123" t="str">
        <f t="shared" si="0"/>
        <v/>
      </c>
      <c r="H34" s="123" t="str">
        <f t="shared" si="1"/>
        <v/>
      </c>
      <c r="I34" s="123"/>
      <c r="J34" s="124" t="str">
        <f t="shared" si="4"/>
        <v/>
      </c>
      <c r="K34" s="124">
        <f t="shared" si="5"/>
        <v>0</v>
      </c>
      <c r="L34" s="124">
        <f t="shared" si="9"/>
        <v>0</v>
      </c>
      <c r="M34" s="124">
        <f t="shared" si="3"/>
        <v>0</v>
      </c>
      <c r="N34" s="123"/>
      <c r="O34" s="123">
        <f t="shared" si="6"/>
        <v>0</v>
      </c>
      <c r="P34" s="123" t="s">
        <v>46</v>
      </c>
      <c r="Q34" s="123">
        <f t="shared" si="7"/>
        <v>0</v>
      </c>
      <c r="R34" s="123">
        <f t="shared" si="8"/>
        <v>0</v>
      </c>
      <c r="AE34" s="108"/>
      <c r="AF34" s="108"/>
      <c r="AG34" s="108"/>
      <c r="AH34" s="108"/>
      <c r="AI34" s="108"/>
      <c r="AJ34" s="108"/>
      <c r="AK34" s="108"/>
      <c r="AL34" s="108"/>
    </row>
    <row r="35" spans="2:38" ht="14.25">
      <c r="B35" s="114">
        <v>20</v>
      </c>
      <c r="C35" s="127"/>
      <c r="D35" s="127"/>
      <c r="E35" s="127"/>
      <c r="F35" s="127"/>
      <c r="G35" s="125" t="str">
        <f t="shared" si="0"/>
        <v/>
      </c>
      <c r="H35" s="125" t="str">
        <f t="shared" si="1"/>
        <v/>
      </c>
      <c r="I35" s="125"/>
      <c r="J35" s="126" t="str">
        <f t="shared" si="4"/>
        <v/>
      </c>
      <c r="K35" s="126">
        <f t="shared" si="5"/>
        <v>0</v>
      </c>
      <c r="L35" s="126">
        <f t="shared" si="9"/>
        <v>0</v>
      </c>
      <c r="M35" s="126">
        <f t="shared" si="3"/>
        <v>0</v>
      </c>
      <c r="N35" s="125"/>
      <c r="O35" s="125">
        <f t="shared" si="6"/>
        <v>0</v>
      </c>
      <c r="P35" s="125" t="s">
        <v>46</v>
      </c>
      <c r="Q35" s="125">
        <f t="shared" si="7"/>
        <v>0</v>
      </c>
      <c r="R35" s="125">
        <f t="shared" si="8"/>
        <v>0</v>
      </c>
      <c r="AE35" s="108"/>
      <c r="AF35" s="108"/>
      <c r="AG35" s="108"/>
      <c r="AH35" s="108"/>
      <c r="AI35" s="108"/>
      <c r="AJ35" s="108"/>
      <c r="AK35" s="108"/>
      <c r="AL35" s="108"/>
    </row>
    <row r="36" spans="2:38" ht="14.25">
      <c r="B36" s="110">
        <v>21</v>
      </c>
      <c r="C36" s="105"/>
      <c r="D36" s="105"/>
      <c r="E36" s="105"/>
      <c r="F36" s="105"/>
      <c r="G36" s="123" t="str">
        <f t="shared" si="0"/>
        <v/>
      </c>
      <c r="H36" s="123" t="str">
        <f t="shared" si="1"/>
        <v/>
      </c>
      <c r="I36" s="123"/>
      <c r="J36" s="124" t="str">
        <f t="shared" si="4"/>
        <v/>
      </c>
      <c r="K36" s="124">
        <f t="shared" si="5"/>
        <v>0</v>
      </c>
      <c r="L36" s="124">
        <f t="shared" si="9"/>
        <v>0</v>
      </c>
      <c r="M36" s="124">
        <f t="shared" si="3"/>
        <v>0</v>
      </c>
      <c r="N36" s="123"/>
      <c r="O36" s="123">
        <f t="shared" si="6"/>
        <v>0</v>
      </c>
      <c r="P36" s="123" t="s">
        <v>46</v>
      </c>
      <c r="Q36" s="123">
        <f t="shared" si="7"/>
        <v>0</v>
      </c>
      <c r="R36" s="123">
        <f t="shared" si="8"/>
        <v>0</v>
      </c>
      <c r="AE36" s="108"/>
      <c r="AF36" s="108"/>
      <c r="AG36" s="108"/>
      <c r="AH36" s="108"/>
      <c r="AI36" s="108"/>
      <c r="AJ36" s="108"/>
      <c r="AK36" s="108"/>
      <c r="AL36" s="108"/>
    </row>
    <row r="37" spans="2:38" ht="14.25">
      <c r="B37" s="114">
        <v>22</v>
      </c>
      <c r="C37" s="127"/>
      <c r="D37" s="127"/>
      <c r="E37" s="127"/>
      <c r="F37" s="127"/>
      <c r="G37" s="125" t="str">
        <f t="shared" si="0"/>
        <v/>
      </c>
      <c r="H37" s="125" t="str">
        <f t="shared" si="1"/>
        <v/>
      </c>
      <c r="I37" s="125"/>
      <c r="J37" s="126" t="str">
        <f t="shared" si="4"/>
        <v/>
      </c>
      <c r="K37" s="126">
        <f t="shared" si="5"/>
        <v>0</v>
      </c>
      <c r="L37" s="126">
        <f t="shared" si="9"/>
        <v>0</v>
      </c>
      <c r="M37" s="126">
        <f t="shared" si="3"/>
        <v>0</v>
      </c>
      <c r="N37" s="125"/>
      <c r="O37" s="125">
        <f t="shared" si="6"/>
        <v>0</v>
      </c>
      <c r="P37" s="125" t="s">
        <v>46</v>
      </c>
      <c r="Q37" s="125">
        <f t="shared" si="7"/>
        <v>0</v>
      </c>
      <c r="R37" s="125">
        <f t="shared" si="8"/>
        <v>0</v>
      </c>
      <c r="AE37" s="108"/>
      <c r="AF37" s="108"/>
      <c r="AG37" s="108"/>
      <c r="AH37" s="108"/>
      <c r="AI37" s="108"/>
      <c r="AJ37" s="108"/>
      <c r="AK37" s="108"/>
      <c r="AL37" s="108"/>
    </row>
    <row r="38" spans="2:38" ht="14.25">
      <c r="B38" s="110">
        <v>23</v>
      </c>
      <c r="C38" s="105"/>
      <c r="D38" s="105"/>
      <c r="E38" s="105"/>
      <c r="F38" s="105"/>
      <c r="G38" s="123" t="str">
        <f t="shared" si="0"/>
        <v/>
      </c>
      <c r="H38" s="123" t="str">
        <f t="shared" si="1"/>
        <v/>
      </c>
      <c r="I38" s="123"/>
      <c r="J38" s="124" t="str">
        <f t="shared" si="4"/>
        <v/>
      </c>
      <c r="K38" s="124">
        <f t="shared" si="5"/>
        <v>0</v>
      </c>
      <c r="L38" s="124">
        <f t="shared" si="9"/>
        <v>0</v>
      </c>
      <c r="M38" s="124">
        <f t="shared" si="3"/>
        <v>0</v>
      </c>
      <c r="N38" s="123"/>
      <c r="O38" s="123">
        <f t="shared" si="6"/>
        <v>0</v>
      </c>
      <c r="P38" s="123" t="s">
        <v>46</v>
      </c>
      <c r="Q38" s="123">
        <f t="shared" si="7"/>
        <v>0</v>
      </c>
      <c r="R38" s="123">
        <f t="shared" si="8"/>
        <v>0</v>
      </c>
      <c r="AE38" s="108"/>
      <c r="AF38" s="108"/>
      <c r="AG38" s="108"/>
      <c r="AH38" s="108"/>
      <c r="AI38" s="108"/>
      <c r="AJ38" s="108"/>
      <c r="AK38" s="108"/>
      <c r="AL38" s="108"/>
    </row>
    <row r="39" spans="2:38" ht="14.25">
      <c r="B39" s="114">
        <v>24</v>
      </c>
      <c r="C39" s="127"/>
      <c r="D39" s="127"/>
      <c r="E39" s="127"/>
      <c r="F39" s="127"/>
      <c r="G39" s="125" t="str">
        <f t="shared" si="0"/>
        <v/>
      </c>
      <c r="H39" s="125" t="str">
        <f t="shared" si="1"/>
        <v/>
      </c>
      <c r="I39" s="125"/>
      <c r="J39" s="126" t="str">
        <f t="shared" si="4"/>
        <v/>
      </c>
      <c r="K39" s="126">
        <f t="shared" si="5"/>
        <v>0</v>
      </c>
      <c r="L39" s="126">
        <f t="shared" si="9"/>
        <v>0</v>
      </c>
      <c r="M39" s="126">
        <f t="shared" si="3"/>
        <v>0</v>
      </c>
      <c r="N39" s="125"/>
      <c r="O39" s="125">
        <f t="shared" si="6"/>
        <v>0</v>
      </c>
      <c r="P39" s="125" t="s">
        <v>46</v>
      </c>
      <c r="Q39" s="125">
        <f t="shared" si="7"/>
        <v>0</v>
      </c>
      <c r="R39" s="125">
        <f t="shared" si="8"/>
        <v>0</v>
      </c>
      <c r="AE39" s="108"/>
      <c r="AF39" s="108"/>
      <c r="AG39" s="108"/>
      <c r="AH39" s="108"/>
      <c r="AI39" s="108"/>
      <c r="AJ39" s="108"/>
      <c r="AK39" s="108"/>
      <c r="AL39" s="108"/>
    </row>
    <row r="40" spans="2:38" ht="15">
      <c r="H40" s="129"/>
      <c r="I40" s="130">
        <f t="shared" ref="I40:R40" si="10">SUM(I16:I39)</f>
        <v>0</v>
      </c>
      <c r="J40" s="129">
        <f t="shared" si="10"/>
        <v>0</v>
      </c>
      <c r="K40" s="129">
        <f t="shared" si="10"/>
        <v>0</v>
      </c>
      <c r="L40" s="129">
        <f t="shared" si="10"/>
        <v>0</v>
      </c>
      <c r="M40" s="129">
        <f t="shared" si="10"/>
        <v>0</v>
      </c>
      <c r="N40" s="130">
        <f t="shared" si="10"/>
        <v>4</v>
      </c>
      <c r="O40" s="131">
        <f t="shared" si="10"/>
        <v>0</v>
      </c>
      <c r="P40" s="131"/>
      <c r="Q40" s="130">
        <f t="shared" si="10"/>
        <v>0</v>
      </c>
      <c r="R40" s="129">
        <f t="shared" si="10"/>
        <v>0</v>
      </c>
      <c r="AE40" s="108"/>
      <c r="AF40" s="108"/>
      <c r="AG40" s="108"/>
      <c r="AH40" s="108"/>
      <c r="AI40" s="108"/>
      <c r="AJ40" s="108"/>
      <c r="AK40" s="108"/>
      <c r="AL40" s="108"/>
    </row>
    <row r="41" spans="2:38" ht="14.25">
      <c r="AE41" s="108"/>
      <c r="AF41" s="108"/>
      <c r="AG41" s="108"/>
      <c r="AH41" s="108"/>
      <c r="AI41" s="108"/>
      <c r="AJ41" s="108"/>
      <c r="AK41" s="108"/>
      <c r="AL41" s="108"/>
    </row>
    <row r="42" spans="2:38" ht="15">
      <c r="V42" s="132" t="s">
        <v>78</v>
      </c>
      <c r="W42" s="132" t="s">
        <v>79</v>
      </c>
      <c r="X42" s="132" t="s">
        <v>87</v>
      </c>
      <c r="Y42" s="132"/>
      <c r="Z42" s="132"/>
      <c r="AA42" s="108"/>
      <c r="AB42" s="108"/>
      <c r="AE42" s="108"/>
      <c r="AF42" s="108"/>
      <c r="AG42" s="108"/>
      <c r="AH42" s="108"/>
      <c r="AI42" s="108"/>
      <c r="AJ42" s="108"/>
      <c r="AK42" s="108"/>
      <c r="AL42" s="108"/>
    </row>
    <row r="43" spans="2:38" ht="15">
      <c r="V43" s="133" t="s">
        <v>117</v>
      </c>
      <c r="W43" s="134" t="s">
        <v>73</v>
      </c>
      <c r="X43" s="135" t="s">
        <v>118</v>
      </c>
      <c r="Y43" s="108"/>
      <c r="Z43" s="108"/>
      <c r="AA43" s="108"/>
      <c r="AB43" s="108"/>
      <c r="AE43" s="108"/>
      <c r="AF43" s="108"/>
      <c r="AG43" s="108"/>
      <c r="AH43" s="108"/>
      <c r="AI43" s="108"/>
      <c r="AJ43" s="108"/>
      <c r="AK43" s="108"/>
      <c r="AL43" s="108"/>
    </row>
    <row r="44" spans="2:38" ht="15">
      <c r="V44" s="133" t="s">
        <v>81</v>
      </c>
      <c r="W44" s="133" t="s">
        <v>74</v>
      </c>
      <c r="X44" s="135"/>
      <c r="Y44" s="108"/>
      <c r="Z44" s="108"/>
      <c r="AA44" s="128" t="s">
        <v>95</v>
      </c>
      <c r="AB44" s="136" t="s">
        <v>22</v>
      </c>
      <c r="AE44" s="108"/>
      <c r="AF44" s="108"/>
      <c r="AG44" s="108"/>
      <c r="AH44" s="108"/>
      <c r="AI44" s="108"/>
      <c r="AJ44" s="108"/>
      <c r="AK44" s="108"/>
      <c r="AL44" s="108"/>
    </row>
    <row r="45" spans="2:38" ht="15">
      <c r="V45" s="137" t="s">
        <v>82</v>
      </c>
      <c r="W45" s="133" t="s">
        <v>75</v>
      </c>
      <c r="X45" s="135"/>
      <c r="Y45" s="108"/>
      <c r="Z45" s="108"/>
      <c r="AA45" s="107" t="s">
        <v>46</v>
      </c>
      <c r="AB45" s="138" t="s">
        <v>23</v>
      </c>
      <c r="AE45" s="108"/>
      <c r="AF45" s="108"/>
      <c r="AG45" s="108"/>
      <c r="AH45" s="108"/>
      <c r="AI45" s="108"/>
      <c r="AJ45" s="108"/>
      <c r="AK45" s="108"/>
      <c r="AL45" s="108"/>
    </row>
    <row r="46" spans="2:38" ht="13.5" customHeight="1">
      <c r="V46" s="137" t="s">
        <v>121</v>
      </c>
      <c r="W46" s="137" t="s">
        <v>76</v>
      </c>
      <c r="X46" s="135"/>
      <c r="Y46" s="108"/>
      <c r="Z46" s="108"/>
      <c r="AA46" s="107" t="s">
        <v>47</v>
      </c>
      <c r="AB46" s="136" t="s">
        <v>24</v>
      </c>
      <c r="AE46" s="108"/>
      <c r="AF46" s="108"/>
      <c r="AG46" s="108"/>
      <c r="AH46" s="108"/>
      <c r="AI46" s="108"/>
      <c r="AJ46" s="108"/>
      <c r="AK46" s="108"/>
      <c r="AL46" s="108"/>
    </row>
    <row r="47" spans="2:38" ht="15">
      <c r="V47" s="139"/>
      <c r="W47" s="133" t="s">
        <v>77</v>
      </c>
      <c r="X47" s="135"/>
      <c r="Y47" s="108"/>
      <c r="Z47" s="108"/>
      <c r="AB47" s="138" t="s">
        <v>25</v>
      </c>
      <c r="AE47" s="108"/>
      <c r="AF47" s="108"/>
      <c r="AG47" s="108"/>
      <c r="AH47" s="108"/>
      <c r="AI47" s="108"/>
      <c r="AJ47" s="108"/>
      <c r="AK47" s="108"/>
      <c r="AL47" s="108"/>
    </row>
    <row r="48" spans="2:38" ht="15">
      <c r="V48" s="139"/>
      <c r="W48" s="134" t="s">
        <v>83</v>
      </c>
      <c r="X48" s="135"/>
      <c r="Y48" s="108"/>
      <c r="Z48" s="108"/>
      <c r="AB48" s="136" t="s">
        <v>26</v>
      </c>
      <c r="AE48" s="108"/>
      <c r="AF48" s="108"/>
      <c r="AG48" s="108"/>
      <c r="AH48" s="108"/>
      <c r="AI48" s="108"/>
      <c r="AJ48" s="108"/>
      <c r="AK48" s="108"/>
      <c r="AL48" s="108"/>
    </row>
    <row r="49" spans="3:38" ht="15">
      <c r="V49" s="139"/>
      <c r="W49" s="134" t="s">
        <v>84</v>
      </c>
      <c r="X49" s="135"/>
      <c r="Y49" s="108"/>
      <c r="Z49" s="108"/>
      <c r="AB49" s="138" t="s">
        <v>27</v>
      </c>
      <c r="AE49" s="108"/>
      <c r="AF49" s="108"/>
      <c r="AG49" s="108"/>
      <c r="AH49" s="108"/>
      <c r="AI49" s="108"/>
      <c r="AJ49" s="108"/>
      <c r="AK49" s="108"/>
      <c r="AL49" s="108"/>
    </row>
    <row r="50" spans="3:38" ht="15">
      <c r="V50" s="139"/>
      <c r="W50" s="134" t="s">
        <v>85</v>
      </c>
      <c r="X50" s="135"/>
      <c r="Y50" s="108"/>
      <c r="Z50" s="108"/>
      <c r="AB50" s="271" t="s">
        <v>191</v>
      </c>
      <c r="AE50" s="108"/>
      <c r="AF50" s="108"/>
      <c r="AG50" s="108"/>
      <c r="AH50" s="108"/>
      <c r="AI50" s="108"/>
      <c r="AJ50" s="108"/>
      <c r="AK50" s="108"/>
      <c r="AL50" s="108"/>
    </row>
    <row r="51" spans="3:38" ht="15">
      <c r="V51" s="139"/>
      <c r="W51" s="140" t="s">
        <v>86</v>
      </c>
      <c r="X51" s="135"/>
      <c r="Y51" s="108"/>
      <c r="Z51" s="108"/>
      <c r="AB51" s="141" t="s">
        <v>35</v>
      </c>
      <c r="AE51" s="108"/>
      <c r="AF51" s="108"/>
      <c r="AG51" s="108"/>
      <c r="AH51" s="108"/>
      <c r="AI51" s="108"/>
      <c r="AJ51" s="108"/>
      <c r="AK51" s="108"/>
      <c r="AL51" s="108"/>
    </row>
    <row r="52" spans="3:38" ht="15">
      <c r="C52" s="142"/>
      <c r="D52" s="142"/>
      <c r="E52" s="142"/>
      <c r="V52" s="139"/>
      <c r="W52" s="140" t="s">
        <v>120</v>
      </c>
      <c r="X52" s="135"/>
      <c r="Y52" s="108"/>
      <c r="Z52" s="108"/>
      <c r="AB52" s="136" t="s">
        <v>125</v>
      </c>
    </row>
    <row r="53" spans="3:38" ht="15">
      <c r="C53" s="142"/>
      <c r="D53" s="142"/>
      <c r="E53" s="142"/>
      <c r="V53" s="139"/>
      <c r="W53" s="139"/>
      <c r="X53" s="106"/>
      <c r="Y53" s="108"/>
      <c r="Z53" s="108"/>
      <c r="AB53" s="141" t="s">
        <v>28</v>
      </c>
    </row>
    <row r="54" spans="3:38" ht="15">
      <c r="C54" s="142"/>
      <c r="D54" s="142"/>
      <c r="E54" s="142"/>
      <c r="V54" s="139"/>
      <c r="W54" s="139"/>
      <c r="X54" s="135"/>
      <c r="Y54" s="108"/>
      <c r="Z54" s="108"/>
      <c r="AB54" s="136" t="s">
        <v>29</v>
      </c>
    </row>
    <row r="55" spans="3:38" ht="15">
      <c r="C55" s="142"/>
      <c r="D55" s="142"/>
      <c r="E55" s="142"/>
      <c r="V55" s="139"/>
      <c r="W55" s="139"/>
      <c r="X55" s="135"/>
      <c r="Y55" s="108"/>
      <c r="Z55" s="108"/>
      <c r="AB55" s="141" t="s">
        <v>48</v>
      </c>
    </row>
    <row r="56" spans="3:38" ht="15">
      <c r="C56" s="142"/>
      <c r="D56" s="142"/>
      <c r="E56" s="142"/>
      <c r="V56" s="139"/>
      <c r="W56" s="139"/>
      <c r="X56" s="135"/>
      <c r="Y56" s="108"/>
      <c r="Z56" s="108"/>
      <c r="AB56" s="136" t="s">
        <v>49</v>
      </c>
    </row>
    <row r="57" spans="3:38" ht="15">
      <c r="C57" s="142"/>
      <c r="D57" s="142"/>
      <c r="E57" s="142"/>
      <c r="V57" s="139"/>
      <c r="W57" s="139"/>
      <c r="X57" s="135"/>
      <c r="Y57" s="108"/>
      <c r="Z57" s="108"/>
      <c r="AB57" s="141" t="s">
        <v>50</v>
      </c>
    </row>
    <row r="58" spans="3:38" ht="15">
      <c r="C58" s="142"/>
      <c r="D58" s="142"/>
      <c r="E58" s="142"/>
      <c r="V58" s="139"/>
      <c r="W58" s="139"/>
      <c r="X58" s="135"/>
      <c r="Y58" s="108"/>
      <c r="Z58" s="108"/>
      <c r="AB58" s="136" t="s">
        <v>51</v>
      </c>
    </row>
    <row r="59" spans="3:38" ht="15">
      <c r="C59" s="142"/>
      <c r="D59" s="142"/>
      <c r="E59" s="142"/>
      <c r="V59" s="139"/>
      <c r="W59" s="139"/>
      <c r="X59" s="135"/>
      <c r="Y59" s="108"/>
      <c r="Z59" s="108"/>
      <c r="AB59" s="141" t="s">
        <v>66</v>
      </c>
    </row>
    <row r="60" spans="3:38" ht="15">
      <c r="C60" s="142"/>
      <c r="D60" s="142"/>
      <c r="E60" s="142"/>
      <c r="V60" s="139"/>
      <c r="W60" s="139"/>
      <c r="X60" s="135"/>
      <c r="Y60" s="108"/>
      <c r="Z60" s="108"/>
      <c r="AB60" s="136" t="s">
        <v>119</v>
      </c>
    </row>
    <row r="61" spans="3:38" ht="15">
      <c r="C61" s="143"/>
      <c r="D61" s="143"/>
      <c r="E61" s="143"/>
      <c r="V61" s="139"/>
      <c r="W61" s="139"/>
      <c r="X61" s="135"/>
      <c r="Y61" s="108"/>
      <c r="Z61" s="108"/>
    </row>
    <row r="62" spans="3:38" ht="15">
      <c r="C62" s="143"/>
      <c r="D62" s="143"/>
      <c r="E62" s="143"/>
      <c r="V62" s="139"/>
      <c r="W62" s="139"/>
      <c r="X62" s="144"/>
      <c r="Y62" s="108"/>
      <c r="Z62" s="108"/>
    </row>
    <row r="63" spans="3:38" ht="15">
      <c r="C63" s="142"/>
      <c r="D63" s="142"/>
      <c r="E63" s="142"/>
      <c r="V63" s="139"/>
      <c r="W63" s="139"/>
      <c r="X63" s="106"/>
      <c r="Y63" s="108"/>
      <c r="Z63" s="108"/>
    </row>
    <row r="64" spans="3:38" ht="15">
      <c r="C64" s="142"/>
      <c r="D64" s="142"/>
      <c r="E64" s="142"/>
      <c r="V64" s="139"/>
      <c r="W64" s="139"/>
      <c r="X64" s="145"/>
      <c r="Y64" s="108"/>
      <c r="Z64" s="108"/>
    </row>
    <row r="65" spans="3:26" ht="15">
      <c r="C65" s="142"/>
      <c r="D65" s="142"/>
      <c r="E65" s="142"/>
      <c r="V65" s="147"/>
      <c r="W65" s="139"/>
      <c r="X65" s="145"/>
      <c r="Y65" s="108"/>
      <c r="Z65" s="108"/>
    </row>
    <row r="66" spans="3:26" ht="15">
      <c r="C66" s="142"/>
      <c r="D66" s="142"/>
      <c r="E66" s="142"/>
      <c r="V66" s="139"/>
      <c r="W66" s="139"/>
      <c r="X66" s="146"/>
      <c r="Y66" s="108"/>
      <c r="Z66" s="108"/>
    </row>
    <row r="67" spans="3:26" ht="15">
      <c r="C67" s="142"/>
      <c r="D67" s="142"/>
      <c r="E67" s="142"/>
      <c r="V67" s="147" t="s">
        <v>117</v>
      </c>
      <c r="W67" s="147" t="s">
        <v>73</v>
      </c>
      <c r="X67" s="145"/>
      <c r="Y67" s="108"/>
      <c r="Z67" s="108"/>
    </row>
    <row r="68" spans="3:26" ht="15">
      <c r="C68" s="142"/>
      <c r="D68" s="142"/>
      <c r="E68" s="142"/>
      <c r="V68" s="147" t="s">
        <v>117</v>
      </c>
      <c r="W68" s="147" t="s">
        <v>88</v>
      </c>
      <c r="X68" s="145"/>
      <c r="Y68" s="108"/>
      <c r="Z68" s="108"/>
    </row>
    <row r="69" spans="3:26" ht="15">
      <c r="C69" s="142"/>
      <c r="D69" s="142"/>
      <c r="E69" s="142"/>
      <c r="V69" s="147" t="s">
        <v>117</v>
      </c>
      <c r="W69" s="147" t="s">
        <v>12</v>
      </c>
      <c r="X69" s="145"/>
      <c r="Y69" s="108"/>
      <c r="Z69" s="108"/>
    </row>
    <row r="70" spans="3:26" ht="15">
      <c r="C70" s="149"/>
      <c r="D70" s="149"/>
      <c r="E70" s="149"/>
      <c r="V70" s="147" t="s">
        <v>117</v>
      </c>
      <c r="W70" s="147" t="s">
        <v>89</v>
      </c>
      <c r="X70" s="145"/>
      <c r="Y70" s="139"/>
      <c r="Z70" s="139"/>
    </row>
    <row r="71" spans="3:26" ht="15">
      <c r="C71" s="149"/>
      <c r="D71" s="149"/>
      <c r="E71" s="149"/>
      <c r="V71" s="147" t="s">
        <v>117</v>
      </c>
      <c r="W71" s="147" t="s">
        <v>13</v>
      </c>
      <c r="X71" s="145"/>
      <c r="Y71" s="139"/>
      <c r="Z71" s="139"/>
    </row>
    <row r="72" spans="3:26" ht="15">
      <c r="C72" s="149"/>
      <c r="D72" s="149"/>
      <c r="E72" s="149"/>
      <c r="V72" s="147" t="s">
        <v>81</v>
      </c>
      <c r="W72" s="147" t="s">
        <v>93</v>
      </c>
      <c r="X72" s="145"/>
      <c r="Y72" s="139"/>
      <c r="Z72" s="139"/>
    </row>
    <row r="73" spans="3:26" ht="15">
      <c r="C73" s="150"/>
      <c r="D73" s="150"/>
      <c r="E73" s="150"/>
      <c r="V73" s="147" t="s">
        <v>81</v>
      </c>
      <c r="W73" s="147" t="s">
        <v>90</v>
      </c>
      <c r="X73" s="145"/>
      <c r="Y73" s="139"/>
      <c r="Z73" s="139"/>
    </row>
    <row r="74" spans="3:26" ht="15">
      <c r="C74" s="149"/>
      <c r="D74" s="149"/>
      <c r="E74" s="149"/>
      <c r="V74" s="147" t="s">
        <v>81</v>
      </c>
      <c r="W74" s="147" t="s">
        <v>91</v>
      </c>
      <c r="X74" s="145"/>
      <c r="Y74" s="139"/>
      <c r="Z74" s="139"/>
    </row>
    <row r="75" spans="3:26" ht="15">
      <c r="C75" s="149"/>
      <c r="D75" s="149"/>
      <c r="E75" s="149"/>
      <c r="V75" s="147" t="s">
        <v>81</v>
      </c>
      <c r="W75" s="147" t="s">
        <v>92</v>
      </c>
      <c r="X75" s="145"/>
      <c r="Y75" s="139"/>
      <c r="Z75" s="139"/>
    </row>
    <row r="76" spans="3:26" ht="15">
      <c r="C76" s="150"/>
      <c r="D76" s="150"/>
      <c r="E76" s="150"/>
      <c r="V76" s="147" t="s">
        <v>82</v>
      </c>
      <c r="W76" s="147" t="s">
        <v>86</v>
      </c>
      <c r="X76" s="145"/>
      <c r="Y76" s="139"/>
      <c r="Z76" s="139"/>
    </row>
    <row r="77" spans="3:26" ht="15">
      <c r="C77" s="149"/>
      <c r="D77" s="149"/>
      <c r="E77" s="149"/>
      <c r="V77" s="147" t="s">
        <v>82</v>
      </c>
      <c r="W77" s="147" t="s">
        <v>85</v>
      </c>
      <c r="X77" s="145"/>
      <c r="Y77" s="139"/>
      <c r="Z77" s="139"/>
    </row>
    <row r="78" spans="3:26" ht="15">
      <c r="C78" s="149"/>
      <c r="D78" s="149"/>
      <c r="E78" s="149"/>
      <c r="V78" s="147" t="s">
        <v>82</v>
      </c>
      <c r="W78" s="147" t="s">
        <v>84</v>
      </c>
      <c r="X78" s="145"/>
      <c r="Y78" s="139"/>
      <c r="Z78" s="139"/>
    </row>
    <row r="79" spans="3:26" ht="30">
      <c r="C79" s="149"/>
      <c r="D79" s="149"/>
      <c r="E79" s="149"/>
      <c r="V79" s="160" t="s">
        <v>121</v>
      </c>
      <c r="W79" s="147" t="s">
        <v>120</v>
      </c>
      <c r="Y79" s="139"/>
      <c r="Z79" s="139"/>
    </row>
    <row r="80" spans="3:26">
      <c r="V80" s="107" t="e">
        <f ca="1">OFFSET($V$67,MATCH(D16,$V$67:$V$79,0)-1,1,COUNTIF($V$67:$V$79,D16),1)</f>
        <v>#VALUE!</v>
      </c>
    </row>
    <row r="82" spans="22:25" ht="15">
      <c r="V82" s="148" t="s">
        <v>73</v>
      </c>
      <c r="W82" s="151"/>
      <c r="X82" s="152">
        <v>14</v>
      </c>
      <c r="Y82" s="152"/>
    </row>
    <row r="83" spans="22:25" ht="15">
      <c r="V83" s="148" t="s">
        <v>73</v>
      </c>
      <c r="W83" s="151"/>
      <c r="X83" s="152">
        <v>14</v>
      </c>
      <c r="Y83" s="152"/>
    </row>
    <row r="84" spans="22:25" ht="15">
      <c r="V84" s="148" t="s">
        <v>90</v>
      </c>
      <c r="W84" s="151"/>
      <c r="X84" s="152">
        <v>12</v>
      </c>
      <c r="Y84" s="152"/>
    </row>
    <row r="85" spans="22:25" ht="15">
      <c r="V85" s="148" t="s">
        <v>90</v>
      </c>
      <c r="W85" s="151"/>
      <c r="X85" s="152">
        <v>12</v>
      </c>
      <c r="Y85" s="152"/>
    </row>
    <row r="86" spans="22:25" ht="15">
      <c r="V86" s="148" t="s">
        <v>90</v>
      </c>
      <c r="W86" s="151"/>
      <c r="X86" s="152">
        <v>12</v>
      </c>
      <c r="Y86" s="152"/>
    </row>
    <row r="87" spans="22:25" ht="15">
      <c r="V87" s="148" t="s">
        <v>91</v>
      </c>
      <c r="W87" s="151"/>
      <c r="X87" s="152">
        <v>10</v>
      </c>
      <c r="Y87" s="152"/>
    </row>
    <row r="88" spans="22:25" ht="15">
      <c r="V88" s="148" t="s">
        <v>89</v>
      </c>
      <c r="W88" s="151"/>
      <c r="X88" s="152">
        <v>10</v>
      </c>
      <c r="Y88" s="152"/>
    </row>
    <row r="89" spans="22:25" ht="15">
      <c r="V89" s="148" t="s">
        <v>12</v>
      </c>
      <c r="W89" s="151" t="s">
        <v>118</v>
      </c>
      <c r="X89" s="152">
        <v>12</v>
      </c>
      <c r="Y89" s="152">
        <v>3500</v>
      </c>
    </row>
    <row r="90" spans="22:25" ht="15">
      <c r="V90" s="148" t="s">
        <v>13</v>
      </c>
      <c r="W90" s="151"/>
      <c r="X90" s="152">
        <v>7</v>
      </c>
      <c r="Y90" s="152"/>
    </row>
    <row r="91" spans="22:25" ht="15">
      <c r="V91" s="148" t="s">
        <v>13</v>
      </c>
      <c r="W91" s="151"/>
      <c r="X91" s="152">
        <v>7</v>
      </c>
      <c r="Y91" s="152"/>
    </row>
    <row r="92" spans="22:25" ht="15">
      <c r="V92" s="148" t="s">
        <v>120</v>
      </c>
      <c r="W92" s="151"/>
      <c r="X92" s="152">
        <v>10</v>
      </c>
      <c r="Y92" s="152"/>
    </row>
    <row r="93" spans="22:25" ht="15">
      <c r="V93" s="148" t="s">
        <v>120</v>
      </c>
      <c r="W93" s="153"/>
      <c r="X93" s="152">
        <v>10</v>
      </c>
      <c r="Y93" s="152"/>
    </row>
  </sheetData>
  <mergeCells count="3">
    <mergeCell ref="B1:R3"/>
    <mergeCell ref="F6:G6"/>
    <mergeCell ref="F7:G7"/>
  </mergeCells>
  <conditionalFormatting sqref="I16:I39">
    <cfRule type="cellIs" dxfId="52" priority="17" operator="lessThan">
      <formula>0.01</formula>
    </cfRule>
    <cfRule type="cellIs" dxfId="51" priority="18" operator="lessThan">
      <formula>0</formula>
    </cfRule>
  </conditionalFormatting>
  <conditionalFormatting sqref="N16:R39">
    <cfRule type="cellIs" dxfId="50" priority="19" operator="lessThan">
      <formula>0.01</formula>
    </cfRule>
    <cfRule type="cellIs" dxfId="49" priority="20" operator="lessThan">
      <formula>0</formula>
    </cfRule>
  </conditionalFormatting>
  <conditionalFormatting sqref="L16:L39">
    <cfRule type="cellIs" dxfId="48" priority="15" operator="lessThan">
      <formula>0.01</formula>
    </cfRule>
    <cfRule type="cellIs" dxfId="47" priority="16" operator="lessThan">
      <formula>0</formula>
    </cfRule>
  </conditionalFormatting>
  <conditionalFormatting sqref="M16:M39">
    <cfRule type="cellIs" dxfId="46" priority="13" operator="lessThan">
      <formula>0.01</formula>
    </cfRule>
    <cfRule type="cellIs" dxfId="45" priority="14" operator="lessThan">
      <formula>0</formula>
    </cfRule>
  </conditionalFormatting>
  <conditionalFormatting sqref="D16:D39">
    <cfRule type="cellIs" dxfId="44" priority="11" operator="lessThan">
      <formula>0.01</formula>
    </cfRule>
    <cfRule type="cellIs" dxfId="43" priority="12" operator="lessThan">
      <formula>0</formula>
    </cfRule>
  </conditionalFormatting>
  <conditionalFormatting sqref="K16:K39">
    <cfRule type="cellIs" dxfId="42" priority="7" operator="lessThan">
      <formula>0.01</formula>
    </cfRule>
    <cfRule type="cellIs" dxfId="41" priority="8" operator="lessThan">
      <formula>0</formula>
    </cfRule>
  </conditionalFormatting>
  <conditionalFormatting sqref="J16:J39">
    <cfRule type="cellIs" dxfId="40" priority="9" operator="lessThan">
      <formula>0.01</formula>
    </cfRule>
    <cfRule type="cellIs" dxfId="39" priority="10" operator="lessThan">
      <formula>0</formula>
    </cfRule>
  </conditionalFormatting>
  <conditionalFormatting sqref="E16:G39">
    <cfRule type="cellIs" dxfId="38" priority="5" operator="lessThan">
      <formula>0.01</formula>
    </cfRule>
    <cfRule type="cellIs" dxfId="37" priority="6" operator="lessThan">
      <formula>0</formula>
    </cfRule>
  </conditionalFormatting>
  <conditionalFormatting sqref="H16:H39">
    <cfRule type="cellIs" dxfId="36" priority="3" operator="lessThan">
      <formula>0.01</formula>
    </cfRule>
    <cfRule type="cellIs" dxfId="35" priority="4" operator="lessThan">
      <formula>0</formula>
    </cfRule>
  </conditionalFormatting>
  <conditionalFormatting sqref="C16:C39">
    <cfRule type="cellIs" dxfId="34" priority="1" operator="lessThan">
      <formula>0.01</formula>
    </cfRule>
    <cfRule type="cellIs" dxfId="33" priority="2" operator="lessThan">
      <formula>0</formula>
    </cfRule>
  </conditionalFormatting>
  <dataValidations count="6">
    <dataValidation type="list" allowBlank="1" showInputMessage="1" showErrorMessage="1" sqref="E16:E39" xr:uid="{5DEC95BC-DFBE-4BA0-8FF2-DAB3CC7C83AC}">
      <formula1>OFFSET($V$67,MATCH(D16,$V$67:$V$79,0)-1,1,COUNTIF($V$67:$V$79,D16),1)</formula1>
    </dataValidation>
    <dataValidation type="list" allowBlank="1" showInputMessage="1" showErrorMessage="1" sqref="P16:P39" xr:uid="{74A177D5-2AD0-4B18-BEC2-9B85EFF58C06}">
      <formula1>$AA$45:$AA$46</formula1>
    </dataValidation>
    <dataValidation type="list" allowBlank="1" showInputMessage="1" showErrorMessage="1" sqref="C16:C39" xr:uid="{45120D96-960E-44E0-BD2D-21EF3B19B202}">
      <formula1>$AB$44:$AB$60</formula1>
    </dataValidation>
    <dataValidation type="list" allowBlank="1" showInputMessage="1" showErrorMessage="1" sqref="B6:E6 D16:D39" xr:uid="{1784D689-4D52-42FC-967E-8C593FC13977}">
      <formula1>$V$43:$V$46</formula1>
    </dataValidation>
    <dataValidation type="list" allowBlank="1" showInputMessage="1" showErrorMessage="1" sqref="F16:F39" xr:uid="{EE9B56C8-E31F-4D5F-837A-D21BD948C33A}">
      <formula1>OFFSET($V$82,MATCH(E16,$V$82:$V$93,0)-1,1,COUNTIF($V$82:$V$93,E16),1)</formula1>
    </dataValidation>
    <dataValidation type="list" allowBlank="1" showInputMessage="1" showErrorMessage="1" sqref="W82:W91" xr:uid="{8CC57C84-6F8D-4F53-9EAC-B875B1711E6A}">
      <formula1>Специалисты1</formula1>
    </dataValidation>
  </dataValidations>
  <printOptions horizontalCentered="1"/>
  <pageMargins left="0.6692913385826772" right="0.39370078740157483" top="0.59055118110236227" bottom="0.59055118110236227" header="0.31496062992125984" footer="0.31496062992125984"/>
  <pageSetup paperSize="9" scale="25" orientation="portrait" r:id="rId1"/>
  <headerFooter>
    <oddFooter>&amp;R&amp;"arial,Полужирный"&amp;P (&amp;N)</oddFooter>
  </headerFooter>
  <tableParts count="5">
    <tablePart r:id="rId2"/>
    <tablePart r:id="rId3"/>
    <tablePart r:id="rId4"/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79C1-7B27-4965-B759-4BE04670DD28}">
  <sheetPr codeName="Лист6">
    <tabColor rgb="FF92D050"/>
  </sheetPr>
  <dimension ref="B1:Z146"/>
  <sheetViews>
    <sheetView workbookViewId="0">
      <selection activeCell="D3" sqref="D3"/>
    </sheetView>
  </sheetViews>
  <sheetFormatPr defaultColWidth="9.140625" defaultRowHeight="12.75"/>
  <cols>
    <col min="1" max="1" width="9.140625" style="2"/>
    <col min="2" max="2" width="5.5703125" style="39" customWidth="1"/>
    <col min="3" max="3" width="43.28515625" style="2" customWidth="1"/>
    <col min="4" max="4" width="18.85546875" style="2" customWidth="1"/>
    <col min="5" max="5" width="12" style="2" customWidth="1"/>
    <col min="6" max="6" width="38" style="2" customWidth="1"/>
    <col min="7" max="7" width="16.28515625" style="2" customWidth="1"/>
    <col min="8" max="8" width="12.7109375" style="2" customWidth="1"/>
    <col min="9" max="9" width="63.7109375" style="2" customWidth="1"/>
    <col min="10" max="10" width="20.140625" style="2" customWidth="1"/>
    <col min="11" max="11" width="19.42578125" style="2" customWidth="1"/>
    <col min="12" max="12" width="18.85546875" style="2" customWidth="1"/>
    <col min="13" max="13" width="21.140625" style="2" customWidth="1"/>
    <col min="14" max="14" width="23.140625" style="2" bestFit="1" customWidth="1"/>
    <col min="15" max="15" width="26" style="2" bestFit="1" customWidth="1"/>
    <col min="16" max="16" width="21.28515625" style="432" customWidth="1"/>
    <col min="17" max="17" width="26" style="432" bestFit="1" customWidth="1"/>
    <col min="18" max="18" width="49" style="432" bestFit="1" customWidth="1"/>
    <col min="19" max="19" width="21.5703125" style="2" customWidth="1"/>
    <col min="20" max="20" width="19.85546875" style="2" customWidth="1"/>
    <col min="21" max="21" width="13.7109375" style="2" customWidth="1"/>
    <col min="22" max="22" width="20.140625" style="2" customWidth="1"/>
    <col min="23" max="23" width="17" style="2" customWidth="1"/>
    <col min="24" max="24" width="16.140625" style="2" customWidth="1"/>
    <col min="25" max="25" width="16.5703125" style="28" customWidth="1"/>
    <col min="26" max="26" width="7.7109375" style="2" bestFit="1" customWidth="1"/>
    <col min="27" max="16384" width="9.140625" style="2"/>
  </cols>
  <sheetData>
    <row r="1" spans="2:26" ht="13.5" thickBot="1"/>
    <row r="2" spans="2:26" ht="16.5" thickBot="1">
      <c r="B2" s="2"/>
      <c r="D2" s="3"/>
      <c r="E2" s="3"/>
      <c r="H2" s="533" t="s">
        <v>54</v>
      </c>
      <c r="I2" s="501" t="s">
        <v>205</v>
      </c>
      <c r="J2" s="502"/>
      <c r="K2" s="502"/>
      <c r="L2" s="503"/>
      <c r="Y2" s="2"/>
      <c r="Z2" s="28"/>
    </row>
    <row r="3" spans="2:26" ht="26.25" thickBot="1">
      <c r="B3" s="2"/>
      <c r="C3" s="28"/>
      <c r="G3" s="28"/>
      <c r="H3" s="534"/>
      <c r="I3" s="154" t="s">
        <v>17</v>
      </c>
      <c r="J3" s="29" t="s">
        <v>18</v>
      </c>
      <c r="K3" s="47" t="s">
        <v>98</v>
      </c>
      <c r="L3" s="27" t="s">
        <v>56</v>
      </c>
      <c r="Y3" s="2"/>
      <c r="Z3" s="28"/>
    </row>
    <row r="4" spans="2:26">
      <c r="B4" s="2"/>
      <c r="C4" s="28"/>
      <c r="D4" s="3"/>
      <c r="E4" s="3"/>
      <c r="H4" s="68">
        <v>1</v>
      </c>
      <c r="I4" s="162" t="str">
        <f>Work!C16</f>
        <v>Управление проектом</v>
      </c>
      <c r="J4" s="51">
        <f>IF(I4=0,"",Work!R16)</f>
        <v>0</v>
      </c>
      <c r="K4" s="72">
        <f>Work!I16/8/5</f>
        <v>0</v>
      </c>
      <c r="L4" s="70"/>
      <c r="Y4" s="2"/>
      <c r="Z4" s="28"/>
    </row>
    <row r="5" spans="2:26" ht="13.5" customHeight="1">
      <c r="B5" s="2"/>
      <c r="C5" s="28"/>
      <c r="G5" s="28"/>
      <c r="H5" s="68">
        <v>2</v>
      </c>
      <c r="I5" s="161" t="str">
        <f>Work!C17</f>
        <v>Технический контроль разработки проекта</v>
      </c>
      <c r="J5" s="52">
        <f>IF(I5=0,"",Work!R17)</f>
        <v>0</v>
      </c>
      <c r="K5" s="48">
        <f>Work!I17/8/5</f>
        <v>0</v>
      </c>
      <c r="L5" s="71"/>
      <c r="Y5" s="2"/>
      <c r="Z5" s="28"/>
    </row>
    <row r="6" spans="2:26" ht="13.5" customHeight="1">
      <c r="B6" s="2"/>
      <c r="C6" s="28"/>
      <c r="H6" s="68">
        <v>3</v>
      </c>
      <c r="I6" s="161" t="str">
        <f>Work!C18</f>
        <v>Разработка технорабочего проекта (ТРП)</v>
      </c>
      <c r="J6" s="52">
        <f>IF(I6=0,"",Work!R18)</f>
        <v>0</v>
      </c>
      <c r="K6" s="48">
        <f>Work!I18/8/5</f>
        <v>0</v>
      </c>
      <c r="L6" s="71"/>
      <c r="Y6" s="2"/>
      <c r="Z6" s="28"/>
    </row>
    <row r="7" spans="2:26" ht="13.5" customHeight="1">
      <c r="B7" s="2"/>
      <c r="C7" s="164"/>
      <c r="H7" s="68">
        <v>4</v>
      </c>
      <c r="I7" s="161" t="str">
        <f>Work!C19</f>
        <v>Разработка прикладного программного обеспечения (ППО)</v>
      </c>
      <c r="J7" s="52">
        <f>IF(I7=0,"",Work!R19)</f>
        <v>0</v>
      </c>
      <c r="K7" s="48">
        <f>Work!I19/8/5</f>
        <v>0</v>
      </c>
      <c r="L7" s="71"/>
      <c r="Y7" s="2"/>
      <c r="Z7" s="28"/>
    </row>
    <row r="8" spans="2:26">
      <c r="B8" s="2"/>
      <c r="C8" s="28"/>
      <c r="G8" s="28"/>
      <c r="H8" s="68">
        <v>5</v>
      </c>
      <c r="I8" s="161" t="str">
        <f>Work!C20</f>
        <v>Комплектация и размещение оборудования</v>
      </c>
      <c r="J8" s="52">
        <f>IF(I8=0,"",Work!R20)</f>
        <v>0</v>
      </c>
      <c r="K8" s="48">
        <f>Work!I20/8/5</f>
        <v>0</v>
      </c>
      <c r="L8" s="71"/>
      <c r="Y8" s="2"/>
      <c r="Z8" s="28"/>
    </row>
    <row r="9" spans="2:26" ht="13.5" thickBot="1">
      <c r="B9" s="2"/>
      <c r="C9" s="28"/>
      <c r="D9" s="3"/>
      <c r="E9" s="3"/>
      <c r="H9" s="68">
        <v>6</v>
      </c>
      <c r="I9" s="161" t="str">
        <f>Work!C21</f>
        <v>Контроль сборки</v>
      </c>
      <c r="J9" s="52">
        <f>IF(I9=0,"",Work!R21)</f>
        <v>0</v>
      </c>
      <c r="K9" s="48">
        <f>Work!I21/8/5</f>
        <v>0</v>
      </c>
      <c r="L9" s="71"/>
      <c r="Y9" s="2"/>
      <c r="Z9" s="28"/>
    </row>
    <row r="10" spans="2:26" ht="13.5" thickBot="1">
      <c r="B10" s="2"/>
      <c r="C10" s="28"/>
      <c r="F10" s="167" t="s">
        <v>287</v>
      </c>
      <c r="G10" s="461"/>
      <c r="H10" s="68">
        <v>7</v>
      </c>
      <c r="I10" s="161" t="str">
        <f>Work!C22</f>
        <v>Участие в проведении ЗПИ</v>
      </c>
      <c r="J10" s="52">
        <f>IF(I10=0,"",Work!R22)</f>
        <v>0</v>
      </c>
      <c r="K10" s="48">
        <f>Work!I22/8/5</f>
        <v>0</v>
      </c>
      <c r="L10" s="71"/>
      <c r="Y10" s="2"/>
      <c r="Z10" s="28"/>
    </row>
    <row r="11" spans="2:26" ht="13.5" thickBot="1">
      <c r="B11" s="2"/>
      <c r="C11" s="28"/>
      <c r="H11" s="68">
        <v>8</v>
      </c>
      <c r="I11" s="161" t="str">
        <f>Work!C23</f>
        <v>Строительно - мотажные работы (СМР)</v>
      </c>
      <c r="J11" s="52">
        <f>IF(I11=0,"",Work!R23)</f>
        <v>0</v>
      </c>
      <c r="K11" s="48">
        <f>Work!I23/8/5</f>
        <v>0</v>
      </c>
      <c r="L11" s="71"/>
      <c r="Y11" s="2"/>
      <c r="Z11" s="28"/>
    </row>
    <row r="12" spans="2:26" ht="13.5" thickBot="1">
      <c r="B12" s="2"/>
      <c r="F12" s="167" t="s">
        <v>288</v>
      </c>
      <c r="G12" s="166"/>
      <c r="H12" s="68">
        <v>9</v>
      </c>
      <c r="I12" s="161" t="str">
        <f>Work!C24</f>
        <v>Шефмонтажные работы</v>
      </c>
      <c r="J12" s="52">
        <f>IF(I12=0,"",Work!R24)</f>
        <v>0</v>
      </c>
      <c r="K12" s="48">
        <f>Work!I24/8/5</f>
        <v>0</v>
      </c>
      <c r="L12" s="71"/>
      <c r="Y12" s="2"/>
      <c r="Z12" s="28"/>
    </row>
    <row r="13" spans="2:26" ht="13.5" thickBot="1">
      <c r="B13" s="2"/>
      <c r="F13" s="167" t="s">
        <v>289</v>
      </c>
      <c r="G13" s="166"/>
      <c r="H13" s="68">
        <v>10</v>
      </c>
      <c r="I13" s="161" t="str">
        <f>Work!C25</f>
        <v>Пусконаладочные работы на площадке (ПНР)</v>
      </c>
      <c r="J13" s="52">
        <f>IF(I13=0,"",Work!R25)</f>
        <v>0</v>
      </c>
      <c r="K13" s="48">
        <f>Work!I25/8/5</f>
        <v>0</v>
      </c>
      <c r="L13" s="71"/>
      <c r="Y13" s="2"/>
      <c r="Z13" s="28"/>
    </row>
    <row r="14" spans="2:26" ht="13.5" thickBot="1">
      <c r="B14" s="2"/>
      <c r="F14" s="167" t="s">
        <v>290</v>
      </c>
      <c r="G14" s="166"/>
      <c r="H14" s="68">
        <v>11</v>
      </c>
      <c r="I14" s="161" t="str">
        <f>Work!C26</f>
        <v>Обучение</v>
      </c>
      <c r="J14" s="52">
        <f>IF(I14=0,"",Work!R26)</f>
        <v>0</v>
      </c>
      <c r="K14" s="48">
        <f>Work!I26/8/5</f>
        <v>0</v>
      </c>
      <c r="L14" s="71"/>
      <c r="Y14" s="2"/>
      <c r="Z14" s="28"/>
    </row>
    <row r="15" spans="2:26" ht="13.5" thickBot="1">
      <c r="B15" s="2"/>
      <c r="F15" s="167" t="s">
        <v>291</v>
      </c>
      <c r="G15" s="166"/>
      <c r="H15" s="68">
        <v>12</v>
      </c>
      <c r="I15" s="161">
        <f>Work!C27</f>
        <v>0</v>
      </c>
      <c r="J15" s="52" t="str">
        <f>IF(I15=0,"",Work!R27)</f>
        <v/>
      </c>
      <c r="K15" s="48">
        <f>Work!I27/8/5</f>
        <v>0</v>
      </c>
      <c r="L15" s="71"/>
      <c r="Y15" s="2"/>
      <c r="Z15" s="28"/>
    </row>
    <row r="16" spans="2:26" ht="13.5" thickBot="1">
      <c r="B16" s="2"/>
      <c r="F16" s="167" t="s">
        <v>292</v>
      </c>
      <c r="G16" s="166"/>
      <c r="H16" s="68">
        <v>13</v>
      </c>
      <c r="I16" s="161">
        <f>Work!C28</f>
        <v>0</v>
      </c>
      <c r="J16" s="52" t="str">
        <f>IF(I16=0,"",Work!R28)</f>
        <v/>
      </c>
      <c r="K16" s="48">
        <f>Work!I28/8/5</f>
        <v>0</v>
      </c>
      <c r="L16" s="71"/>
      <c r="Y16" s="2"/>
      <c r="Z16" s="28"/>
    </row>
    <row r="17" spans="2:26" ht="13.5" thickBot="1">
      <c r="B17" s="2"/>
      <c r="H17" s="68">
        <v>14</v>
      </c>
      <c r="I17" s="161">
        <f>Work!C29</f>
        <v>0</v>
      </c>
      <c r="J17" s="52" t="str">
        <f>IF(I17=0,"",Work!R29)</f>
        <v/>
      </c>
      <c r="K17" s="48">
        <f>Work!I29/8/5</f>
        <v>0</v>
      </c>
      <c r="L17" s="71"/>
      <c r="Y17" s="2"/>
      <c r="Z17" s="28"/>
    </row>
    <row r="18" spans="2:26" ht="16.5" thickBot="1">
      <c r="B18" s="2"/>
      <c r="F18" s="167" t="s">
        <v>293</v>
      </c>
      <c r="G18" s="166">
        <v>1</v>
      </c>
      <c r="H18" s="290"/>
      <c r="I18" s="290" t="s">
        <v>106</v>
      </c>
      <c r="J18" s="291">
        <f>SUM(J4:J17)</f>
        <v>0</v>
      </c>
      <c r="K18" s="292"/>
      <c r="L18" s="293"/>
      <c r="Y18" s="2"/>
      <c r="Z18" s="28"/>
    </row>
    <row r="19" spans="2:26" ht="24.75" customHeight="1" thickBot="1">
      <c r="B19" s="2"/>
      <c r="D19" s="163"/>
      <c r="E19" s="294"/>
      <c r="F19" s="535"/>
      <c r="G19" s="535"/>
      <c r="H19" s="535"/>
      <c r="I19" s="535"/>
      <c r="J19" s="535"/>
      <c r="K19" s="535"/>
      <c r="L19" s="536"/>
      <c r="Y19" s="2"/>
      <c r="Z19" s="28"/>
    </row>
    <row r="20" spans="2:26" ht="26.25" thickBot="1">
      <c r="B20" s="2"/>
      <c r="E20" s="43" t="s">
        <v>54</v>
      </c>
      <c r="F20" s="154" t="s">
        <v>124</v>
      </c>
      <c r="G20" s="29" t="s">
        <v>18</v>
      </c>
      <c r="H20" s="29"/>
      <c r="I20" s="272" t="s">
        <v>96</v>
      </c>
      <c r="J20" s="29" t="s">
        <v>18</v>
      </c>
      <c r="K20" s="47" t="s">
        <v>98</v>
      </c>
      <c r="L20" s="27" t="s">
        <v>56</v>
      </c>
      <c r="M20" s="307" t="s">
        <v>206</v>
      </c>
      <c r="Y20" s="2"/>
      <c r="Z20" s="28"/>
    </row>
    <row r="21" spans="2:26" ht="12.75" customHeight="1">
      <c r="B21" s="2"/>
      <c r="E21" s="65">
        <v>1</v>
      </c>
      <c r="F21" s="296" t="s">
        <v>200</v>
      </c>
      <c r="G21" s="297">
        <f>(G12*90+G13*225+G14*33+G15*33+G16*22.5)*G18*85*0.45*0.75</f>
        <v>0</v>
      </c>
      <c r="H21" s="298"/>
      <c r="I21" s="165" t="s">
        <v>283</v>
      </c>
      <c r="J21" s="155"/>
      <c r="K21" s="156"/>
      <c r="L21" s="157" t="s">
        <v>105</v>
      </c>
      <c r="M21" s="308">
        <f>IFERROR((J21/SUM($J$21:$J$29))*SUM($J$4:$J$7,$J$9),0)</f>
        <v>0</v>
      </c>
      <c r="Y21" s="2"/>
      <c r="Z21" s="28"/>
    </row>
    <row r="22" spans="2:26">
      <c r="B22" s="2"/>
      <c r="E22" s="66">
        <f t="shared" ref="E22:E27" si="0">E21+1</f>
        <v>2</v>
      </c>
      <c r="F22" s="299" t="s">
        <v>201</v>
      </c>
      <c r="G22" s="300">
        <f>(G12*90+G13*225+G14*33+G15*33+G16*22.5)*G18*85*0.55*0.75</f>
        <v>0</v>
      </c>
      <c r="H22" s="301"/>
      <c r="I22" s="165" t="s">
        <v>284</v>
      </c>
      <c r="J22" s="158"/>
      <c r="K22" s="156"/>
      <c r="L22" s="157" t="s">
        <v>105</v>
      </c>
      <c r="M22" s="308">
        <f t="shared" ref="M22:M29" si="1">IFERROR((J22/SUM($J$21:$J$29))*SUM($J$4:$J$7,$J$9),0)</f>
        <v>0</v>
      </c>
      <c r="Y22" s="2"/>
      <c r="Z22" s="28"/>
    </row>
    <row r="23" spans="2:26">
      <c r="B23" s="2"/>
      <c r="E23" s="66">
        <f t="shared" si="0"/>
        <v>3</v>
      </c>
      <c r="F23" s="299" t="s">
        <v>294</v>
      </c>
      <c r="G23" s="300">
        <f>2*G10*28000</f>
        <v>0</v>
      </c>
      <c r="H23" s="301"/>
      <c r="I23" s="165" t="s">
        <v>285</v>
      </c>
      <c r="J23" s="158"/>
      <c r="K23" s="156"/>
      <c r="L23" s="157" t="s">
        <v>105</v>
      </c>
      <c r="M23" s="308">
        <f>IFERROR((J23/SUM($J$21:$J$29))*SUM($J$4:$J$7,$J$9),0)</f>
        <v>0</v>
      </c>
      <c r="Y23" s="2"/>
      <c r="Z23" s="28"/>
    </row>
    <row r="24" spans="2:26">
      <c r="B24" s="2"/>
      <c r="E24" s="67">
        <f t="shared" si="0"/>
        <v>4</v>
      </c>
      <c r="F24" s="299" t="s">
        <v>202</v>
      </c>
      <c r="G24" s="300">
        <f>10*G10*28000*0.75</f>
        <v>0</v>
      </c>
      <c r="H24" s="301"/>
      <c r="I24" s="165" t="s">
        <v>280</v>
      </c>
      <c r="J24" s="158"/>
      <c r="K24" s="156"/>
      <c r="L24" s="157" t="s">
        <v>105</v>
      </c>
      <c r="M24" s="308">
        <f t="shared" si="1"/>
        <v>0</v>
      </c>
      <c r="Y24" s="2"/>
      <c r="Z24" s="28"/>
    </row>
    <row r="25" spans="2:26">
      <c r="B25" s="2"/>
      <c r="E25" s="67">
        <f t="shared" si="0"/>
        <v>5</v>
      </c>
      <c r="F25" s="299" t="s">
        <v>203</v>
      </c>
      <c r="G25" s="300">
        <f>300000</f>
        <v>300000</v>
      </c>
      <c r="H25" s="301"/>
      <c r="I25" s="165" t="s">
        <v>281</v>
      </c>
      <c r="J25" s="158"/>
      <c r="K25" s="156"/>
      <c r="L25" s="157" t="s">
        <v>105</v>
      </c>
      <c r="M25" s="308">
        <f>IFERROR((J25/SUM($J$21:$J$29))*SUM($J$4:$J$7,$J$9),0)</f>
        <v>0</v>
      </c>
      <c r="Y25" s="2"/>
      <c r="Z25" s="28"/>
    </row>
    <row r="26" spans="2:26">
      <c r="B26" s="2"/>
      <c r="E26" s="67">
        <f t="shared" si="0"/>
        <v>6</v>
      </c>
      <c r="F26" s="299" t="s">
        <v>195</v>
      </c>
      <c r="G26" s="300"/>
      <c r="H26" s="301"/>
      <c r="I26" s="165" t="s">
        <v>282</v>
      </c>
      <c r="J26" s="158"/>
      <c r="K26" s="156"/>
      <c r="L26" s="157" t="s">
        <v>105</v>
      </c>
      <c r="M26" s="308">
        <f>IFERROR((J26/SUM($J$21:$J$29))*SUM($J$4:$J$7,$J$9),0)</f>
        <v>0</v>
      </c>
      <c r="Y26" s="2"/>
      <c r="Z26" s="28"/>
    </row>
    <row r="27" spans="2:26">
      <c r="B27" s="2"/>
      <c r="E27" s="67">
        <f t="shared" si="0"/>
        <v>7</v>
      </c>
      <c r="F27" s="299"/>
      <c r="G27" s="300"/>
      <c r="H27" s="301"/>
      <c r="I27" s="165" t="s">
        <v>122</v>
      </c>
      <c r="J27" s="158"/>
      <c r="K27" s="156"/>
      <c r="L27" s="157" t="s">
        <v>105</v>
      </c>
      <c r="M27" s="308">
        <f t="shared" si="1"/>
        <v>0</v>
      </c>
      <c r="Y27" s="2"/>
      <c r="Z27" s="28"/>
    </row>
    <row r="28" spans="2:26">
      <c r="B28" s="2"/>
      <c r="E28" s="67">
        <v>8</v>
      </c>
      <c r="F28" s="299"/>
      <c r="G28" s="300"/>
      <c r="H28" s="301"/>
      <c r="I28" s="165" t="s">
        <v>192</v>
      </c>
      <c r="J28" s="158"/>
      <c r="K28" s="156"/>
      <c r="L28" s="157" t="s">
        <v>105</v>
      </c>
      <c r="M28" s="308">
        <f t="shared" si="1"/>
        <v>0</v>
      </c>
      <c r="Y28" s="2"/>
      <c r="Z28" s="28"/>
    </row>
    <row r="29" spans="2:26">
      <c r="B29" s="2"/>
      <c r="E29" s="67">
        <v>9</v>
      </c>
      <c r="F29" s="299"/>
      <c r="G29" s="300"/>
      <c r="H29" s="301"/>
      <c r="I29" s="165" t="s">
        <v>207</v>
      </c>
      <c r="J29" s="158"/>
      <c r="K29" s="156"/>
      <c r="L29" s="157" t="s">
        <v>105</v>
      </c>
      <c r="M29" s="308">
        <f t="shared" si="1"/>
        <v>0</v>
      </c>
      <c r="Y29" s="2"/>
      <c r="Z29" s="28"/>
    </row>
    <row r="30" spans="2:26" ht="16.5" thickBot="1">
      <c r="B30" s="2"/>
      <c r="D30" s="163"/>
      <c r="E30" s="295"/>
      <c r="F30" s="302" t="s">
        <v>123</v>
      </c>
      <c r="G30" s="302">
        <f ca="1">SUM(G20:OFFSET(G30,-1,0))</f>
        <v>300000</v>
      </c>
      <c r="H30" s="302"/>
      <c r="I30" s="303" t="s">
        <v>106</v>
      </c>
      <c r="J30" s="304">
        <f ca="1">SUM(J20:OFFSET(J30,-1,0))</f>
        <v>0</v>
      </c>
      <c r="K30" s="305"/>
      <c r="L30" s="306"/>
      <c r="M30" s="309">
        <f ca="1">SUM(M20:OFFSET(M30,-1,0))</f>
        <v>0</v>
      </c>
      <c r="Y30" s="2"/>
      <c r="Z30" s="28"/>
    </row>
    <row r="31" spans="2:26" ht="16.5" thickBot="1">
      <c r="C31" s="53"/>
      <c r="D31" s="46"/>
      <c r="E31" s="46"/>
      <c r="F31" s="46"/>
      <c r="G31" s="46"/>
      <c r="H31" s="46"/>
      <c r="J31" s="38"/>
      <c r="Y31" s="2"/>
      <c r="Z31" s="28"/>
    </row>
    <row r="32" spans="2:26" ht="73.5" customHeight="1" thickBot="1">
      <c r="C32" s="537"/>
      <c r="D32" s="538"/>
      <c r="E32" s="538"/>
      <c r="F32" s="538"/>
      <c r="G32" s="538"/>
      <c r="H32" s="538"/>
      <c r="I32" s="539"/>
      <c r="J32" s="540" t="s">
        <v>115</v>
      </c>
      <c r="K32" s="541"/>
    </row>
    <row r="33" spans="3:26" ht="15.75">
      <c r="C33" s="53"/>
      <c r="D33" s="46"/>
      <c r="E33" s="46"/>
      <c r="F33" s="46"/>
      <c r="G33" s="46"/>
      <c r="H33" s="46"/>
      <c r="J33" s="38"/>
      <c r="Y33" s="2"/>
      <c r="Z33" s="28"/>
    </row>
    <row r="34" spans="3:26" ht="29.25" customHeight="1" thickBot="1">
      <c r="I34" s="37"/>
      <c r="J34" s="37"/>
      <c r="M34" s="28"/>
      <c r="P34" s="445"/>
      <c r="Q34" s="445"/>
      <c r="R34" s="446" t="s">
        <v>218</v>
      </c>
      <c r="S34" s="317">
        <v>0.2</v>
      </c>
    </row>
    <row r="35" spans="3:26" ht="24" customHeight="1" thickBot="1">
      <c r="H35" s="76"/>
      <c r="I35" s="532" t="s">
        <v>44</v>
      </c>
      <c r="J35" s="530"/>
      <c r="K35" s="530"/>
      <c r="L35" s="530"/>
      <c r="M35" s="529" t="s">
        <v>53</v>
      </c>
      <c r="N35" s="530"/>
      <c r="O35" s="531"/>
      <c r="R35" s="447" t="s">
        <v>219</v>
      </c>
      <c r="S35" s="318">
        <v>0.2</v>
      </c>
    </row>
    <row r="36" spans="3:26" ht="17.100000000000001" customHeight="1" thickBot="1">
      <c r="H36" s="77" t="s">
        <v>109</v>
      </c>
      <c r="I36" s="78" t="s">
        <v>108</v>
      </c>
      <c r="J36" s="79" t="s">
        <v>18</v>
      </c>
      <c r="K36" s="80" t="s">
        <v>252</v>
      </c>
      <c r="L36" s="346" t="s">
        <v>253</v>
      </c>
      <c r="M36" s="348" t="s">
        <v>251</v>
      </c>
      <c r="N36" s="322" t="s">
        <v>220</v>
      </c>
      <c r="O36" s="81" t="s">
        <v>221</v>
      </c>
      <c r="S36" s="319"/>
    </row>
    <row r="37" spans="3:26" ht="17.100000000000001" customHeight="1" thickBot="1">
      <c r="C37" s="40"/>
      <c r="D37" s="40"/>
      <c r="H37" s="82"/>
      <c r="I37" s="83" t="s">
        <v>43</v>
      </c>
      <c r="J37" s="273">
        <f ca="1">SUM(J38:J46)</f>
        <v>0</v>
      </c>
      <c r="K37" s="284">
        <f ca="1">SUM(K38:K46)</f>
        <v>0</v>
      </c>
      <c r="L37" s="347">
        <f ca="1">SUM(L38:L46)</f>
        <v>0</v>
      </c>
      <c r="M37" s="349">
        <f ca="1">ROUND(SUM(M38:M46),2)</f>
        <v>0</v>
      </c>
      <c r="N37" s="273">
        <f ca="1">SUM(N38:N46)</f>
        <v>0</v>
      </c>
      <c r="O37" s="350">
        <f t="shared" ref="O37:O41" ca="1" si="2">IF(K37=0,0,($M37-$J37)/$M37)</f>
        <v>0</v>
      </c>
      <c r="S37" s="320"/>
    </row>
    <row r="38" spans="3:26" ht="17.100000000000001" customHeight="1" thickBot="1">
      <c r="C38" s="41"/>
      <c r="H38" s="82"/>
      <c r="I38" s="84" t="s">
        <v>208</v>
      </c>
      <c r="J38" s="274">
        <f ca="1">'1'!$O$10
+'2'!$O$10
+'3'!$O$10
+'4'!$O$10
+'5'!$O$10
+'6'!$O$10
+'7'!$O$10
+'8'!$O$10
+'9'!$O$10
+'10'!$O$10
+'11'!$O$10
+'12'!$O$10
+'13'!$O$10
+'14'!$O$10
+'15'!$O$10
+'16'!$O$10
+'17'!$O$10</f>
        <v>0</v>
      </c>
      <c r="K38" s="281">
        <f ca="1">'1'!$I$10
+'2'!$I$10
+'3'!$I$10
+'4'!$I$10
+'5'!$I$10
+'6'!$I$10
+'7'!$I$10
+'8'!$I$10
+'9'!$I$10
+'10'!$I$10
+'11'!$I$10
+'12'!$I$10
+'13'!$I$10
+'14'!$I$10
+'15'!$I$10
+'16'!$I$10
+'17'!$I$10</f>
        <v>0</v>
      </c>
      <c r="L38" s="337">
        <f ca="1">K38-J38</f>
        <v>0</v>
      </c>
      <c r="M38" s="434">
        <f ca="1">ROUND($K38*(1-'Наценки-Скидки'!$I$3),2)</f>
        <v>0</v>
      </c>
      <c r="N38" s="274">
        <f ca="1">$M38-$J38</f>
        <v>0</v>
      </c>
      <c r="O38" s="438">
        <f t="shared" ca="1" si="2"/>
        <v>0</v>
      </c>
      <c r="S38" s="449"/>
      <c r="T38" s="542"/>
    </row>
    <row r="39" spans="3:26" ht="17.100000000000001" customHeight="1" thickBot="1">
      <c r="C39" s="41"/>
      <c r="H39" s="82"/>
      <c r="I39" s="84" t="s">
        <v>247</v>
      </c>
      <c r="J39" s="274">
        <f ca="1">'Spare parts'!$O$15</f>
        <v>0</v>
      </c>
      <c r="K39" s="281">
        <f ca="1">'Spare parts'!$I$15</f>
        <v>0</v>
      </c>
      <c r="L39" s="337">
        <f t="shared" ref="L39:L46" ca="1" si="3">K39-J39</f>
        <v>0</v>
      </c>
      <c r="M39" s="434">
        <f ca="1">ROUND($K39*(1-'Наценки-Скидки'!$I$3),2)</f>
        <v>0</v>
      </c>
      <c r="N39" s="274">
        <f t="shared" ref="N39:N46" ca="1" si="4">$M39-$J39</f>
        <v>0</v>
      </c>
      <c r="O39" s="438">
        <f t="shared" ca="1" si="2"/>
        <v>0</v>
      </c>
      <c r="S39" s="450"/>
      <c r="T39" s="543"/>
    </row>
    <row r="40" spans="3:26" ht="17.100000000000001" customHeight="1" thickBot="1">
      <c r="C40" s="41"/>
      <c r="H40" s="82"/>
      <c r="I40" s="84" t="s">
        <v>215</v>
      </c>
      <c r="J40" s="274"/>
      <c r="K40" s="281">
        <f ca="1">('1'!$I$16
+'2'!$I$16
+'3'!$I$16
+'4'!$I$16
+'5'!$I$16
+'6'!$I$16
+'7'!$I$16
+'8'!$I$16
+'9'!$I$16
+'10'!$I$16
+'11'!$I$16
+'12'!$I$16
+'13'!$I$16
+'14'!$I$16
+'15'!$I$16
+'16'!$I$16
+'17'!$I$16
)/1.22</f>
        <v>0</v>
      </c>
      <c r="L40" s="337">
        <f t="shared" ca="1" si="3"/>
        <v>0</v>
      </c>
      <c r="M40" s="434">
        <f ca="1">ROUND($K40*(1-'Наценки-Скидки'!$I$4),2)</f>
        <v>0</v>
      </c>
      <c r="N40" s="274">
        <f t="shared" ca="1" si="4"/>
        <v>0</v>
      </c>
      <c r="O40" s="438">
        <f ca="1">IF(K40=0,0,($M40-$J40)/$M40)</f>
        <v>0</v>
      </c>
      <c r="S40" s="450"/>
      <c r="T40" s="544"/>
    </row>
    <row r="41" spans="3:26" ht="17.100000000000001" customHeight="1" thickBot="1">
      <c r="C41" s="41"/>
      <c r="H41" s="82"/>
      <c r="I41" s="84" t="s">
        <v>248</v>
      </c>
      <c r="J41" s="274"/>
      <c r="K41" s="281">
        <f ca="1">'Spare parts'!I21/1.22</f>
        <v>0</v>
      </c>
      <c r="L41" s="337">
        <f t="shared" ca="1" si="3"/>
        <v>0</v>
      </c>
      <c r="M41" s="434">
        <f ca="1">ROUND($K41*(1-'Наценки-Скидки'!$I$4),2)</f>
        <v>0</v>
      </c>
      <c r="N41" s="274">
        <f t="shared" ca="1" si="4"/>
        <v>0</v>
      </c>
      <c r="O41" s="438">
        <f t="shared" ca="1" si="2"/>
        <v>0</v>
      </c>
      <c r="S41" s="450"/>
      <c r="T41" s="545"/>
    </row>
    <row r="42" spans="3:26" ht="17.100000000000001" customHeight="1" thickBot="1">
      <c r="H42" s="82"/>
      <c r="I42" s="84" t="s">
        <v>209</v>
      </c>
      <c r="J42" s="274">
        <f ca="1">'1'!O$48
+'2'!$O$48
+'3'!$O$48
+'4'!$O$48
+'5'!$O$48
+'6'!$O$48
+'7'!$O$48
+'8'!$O$48
+'9'!$O$48
+'10'!$O$48
+'11'!$O$48
+'12'!$O$48
+'13'!$O$48
+'14'!$O$48
+'15'!$O$48
+'16'!$O$48
+'17'!$O$48</f>
        <v>0</v>
      </c>
      <c r="K42" s="281">
        <f ca="1">'1'!I$48
+'2'!$I$48
+'3'!$I$48
+'4'!$I$48
+'5'!$I$48
+'6'!$I$48
+'7'!$I$48
+'8'!$I$48
+'9'!$I$48
+'10'!$I$48
+'11'!$I$48
+'12'!$I$48
+'13'!$I$48
+'14'!$I$48
+'15'!$I$48
+'16'!$I$48
+'17'!$I$48</f>
        <v>0</v>
      </c>
      <c r="L42" s="337">
        <f t="shared" ca="1" si="3"/>
        <v>0</v>
      </c>
      <c r="M42" s="434">
        <f ca="1">ROUND($K42*(1-'Наценки-Скидки'!$I$5),2)</f>
        <v>0</v>
      </c>
      <c r="N42" s="274">
        <f t="shared" ca="1" si="4"/>
        <v>0</v>
      </c>
      <c r="O42" s="438">
        <f ca="1">IF(K42=0,0,($M42-$J42)/$M42)</f>
        <v>0</v>
      </c>
      <c r="S42" s="451"/>
      <c r="T42" s="546"/>
    </row>
    <row r="43" spans="3:26" ht="17.100000000000001" customHeight="1" thickBot="1">
      <c r="H43" s="82"/>
      <c r="I43" s="84" t="s">
        <v>249</v>
      </c>
      <c r="J43" s="274">
        <f ca="1">'Spare parts'!$O$45</f>
        <v>0</v>
      </c>
      <c r="K43" s="281">
        <f ca="1">'Spare parts'!$I$45</f>
        <v>0</v>
      </c>
      <c r="L43" s="337">
        <f t="shared" ca="1" si="3"/>
        <v>0</v>
      </c>
      <c r="M43" s="434">
        <f ca="1">ROUND($K43*(1-'Наценки-Скидки'!$I$5),2)</f>
        <v>0</v>
      </c>
      <c r="N43" s="274">
        <f t="shared" ca="1" si="4"/>
        <v>0</v>
      </c>
      <c r="O43" s="438">
        <f t="shared" ref="O43:O90" ca="1" si="5">IF(K43=0,0,($M43-$J43)/$M43)</f>
        <v>0</v>
      </c>
      <c r="S43" s="451"/>
      <c r="T43" s="547"/>
    </row>
    <row r="44" spans="3:26" ht="17.100000000000001" customHeight="1" thickBot="1">
      <c r="H44" s="82"/>
      <c r="I44" s="84" t="s">
        <v>26</v>
      </c>
      <c r="J44" s="275">
        <f>IF(M21=0,SUM(J4:J13),SUM(J8))</f>
        <v>0</v>
      </c>
      <c r="K44" s="281">
        <f>ROUND($J44/(1-'Наценки-Скидки'!$F$7),2)</f>
        <v>0</v>
      </c>
      <c r="L44" s="337">
        <f t="shared" si="3"/>
        <v>0</v>
      </c>
      <c r="M44" s="434">
        <f>ROUND($K44*(1-'Наценки-Скидки'!$I$9),2)</f>
        <v>0</v>
      </c>
      <c r="N44" s="437">
        <f t="shared" si="4"/>
        <v>0</v>
      </c>
      <c r="O44" s="438">
        <f t="shared" si="5"/>
        <v>0</v>
      </c>
      <c r="S44" s="450"/>
      <c r="T44" s="542"/>
    </row>
    <row r="45" spans="3:26" ht="17.100000000000001" customHeight="1" thickBot="1">
      <c r="H45" s="85">
        <v>0.01</v>
      </c>
      <c r="I45" s="84" t="s">
        <v>72</v>
      </c>
      <c r="J45" s="274">
        <f ca="1">SUM($J$38:$J$44)*$H$45</f>
        <v>0</v>
      </c>
      <c r="K45" s="281">
        <f ca="1">ROUND(J45/(1-'Наценки-Скидки'!$F$3-'Наценки-Скидки'!$F$4-'Наценки-Скидки'!$F$5),2)</f>
        <v>0</v>
      </c>
      <c r="L45" s="337">
        <f t="shared" ca="1" si="3"/>
        <v>0</v>
      </c>
      <c r="M45" s="434">
        <f ca="1">ROUND($K45*(1-'Наценки-Скидки'!$I$5),2)</f>
        <v>0</v>
      </c>
      <c r="N45" s="437">
        <f t="shared" ca="1" si="4"/>
        <v>0</v>
      </c>
      <c r="O45" s="438">
        <f t="shared" ca="1" si="5"/>
        <v>0</v>
      </c>
      <c r="S45" s="451"/>
      <c r="T45" s="543"/>
    </row>
    <row r="46" spans="3:26" ht="17.100000000000001" customHeight="1" thickBot="1">
      <c r="H46" s="359">
        <v>0</v>
      </c>
      <c r="I46" s="360" t="s">
        <v>197</v>
      </c>
      <c r="J46" s="361">
        <f ca="1">SUM($J$38:$J$44)*$H$46</f>
        <v>0</v>
      </c>
      <c r="K46" s="362">
        <f ca="1">ROUND(J46/(1-'Наценки-Скидки'!$F$3-'Наценки-Скидки'!$F$4-'Наценки-Скидки'!$F$5),2)</f>
        <v>0</v>
      </c>
      <c r="L46" s="363">
        <f t="shared" ca="1" si="3"/>
        <v>0</v>
      </c>
      <c r="M46" s="434">
        <f ca="1">ROUND($K46*(1-'Наценки-Скидки'!$I$5),2)</f>
        <v>0</v>
      </c>
      <c r="N46" s="441">
        <f t="shared" ca="1" si="4"/>
        <v>0</v>
      </c>
      <c r="O46" s="438">
        <f t="shared" ca="1" si="5"/>
        <v>0</v>
      </c>
      <c r="S46" s="451"/>
      <c r="T46" s="544"/>
    </row>
    <row r="47" spans="3:26" ht="17.100000000000001" customHeight="1" thickBot="1">
      <c r="H47" s="76"/>
      <c r="I47" s="86" t="s">
        <v>295</v>
      </c>
      <c r="J47" s="276">
        <f ca="1">ROUND(SUM(J48:J50),2)</f>
        <v>0</v>
      </c>
      <c r="K47" s="285">
        <f ca="1">ROUND(SUM(K48:K50),2)</f>
        <v>0</v>
      </c>
      <c r="L47" s="338">
        <f ca="1">SUM(L48:L50)</f>
        <v>0</v>
      </c>
      <c r="M47" s="285">
        <f ca="1">ROUND(SUM(M48:M50),2)</f>
        <v>0</v>
      </c>
      <c r="N47" s="342">
        <f t="shared" ref="N47" ca="1" si="6">M47-$J47</f>
        <v>0</v>
      </c>
      <c r="O47" s="351">
        <f t="shared" ca="1" si="5"/>
        <v>0</v>
      </c>
      <c r="S47" s="450"/>
      <c r="T47" s="542"/>
    </row>
    <row r="48" spans="3:26" ht="16.5" customHeight="1" thickBot="1">
      <c r="H48" s="82"/>
      <c r="I48" s="84" t="s">
        <v>196</v>
      </c>
      <c r="J48" s="274">
        <f ca="1">'SW(w.o.VAT)'!O10</f>
        <v>0</v>
      </c>
      <c r="K48" s="281">
        <f ca="1">'SW(w.o.VAT)'!I10</f>
        <v>0</v>
      </c>
      <c r="L48" s="337">
        <f ca="1">K48-J48</f>
        <v>0</v>
      </c>
      <c r="M48" s="434">
        <f ca="1">ROUND($K48*(1-'Наценки-Скидки'!$I$6),2)</f>
        <v>0</v>
      </c>
      <c r="N48" s="437">
        <f t="shared" ref="N48:N50" ca="1" si="7">$M48-$J48</f>
        <v>0</v>
      </c>
      <c r="O48" s="438">
        <f t="shared" ca="1" si="5"/>
        <v>0</v>
      </c>
      <c r="S48" s="451"/>
      <c r="T48" s="543"/>
    </row>
    <row r="49" spans="8:20" ht="17.100000000000001" customHeight="1" thickBot="1">
      <c r="H49" s="82"/>
      <c r="I49" s="84" t="s">
        <v>250</v>
      </c>
      <c r="J49" s="274">
        <f ca="1">'SW(w.o.VAT)'!O21</f>
        <v>0</v>
      </c>
      <c r="K49" s="281">
        <f ca="1">'SW(w.o.VAT)'!I21</f>
        <v>0</v>
      </c>
      <c r="L49" s="337">
        <f t="shared" ref="L49:L50" ca="1" si="8">K49-J49</f>
        <v>0</v>
      </c>
      <c r="M49" s="434">
        <f ca="1">ROUND($K49*(1-'Наценки-Скидки'!$I$7),2)</f>
        <v>0</v>
      </c>
      <c r="N49" s="437">
        <f t="shared" ca="1" si="7"/>
        <v>0</v>
      </c>
      <c r="O49" s="438">
        <f t="shared" ca="1" si="5"/>
        <v>0</v>
      </c>
      <c r="S49" s="451"/>
      <c r="T49" s="544"/>
    </row>
    <row r="50" spans="8:20" ht="16.5" customHeight="1" thickBot="1">
      <c r="H50" s="375"/>
      <c r="I50" s="360" t="s">
        <v>107</v>
      </c>
      <c r="J50" s="361">
        <f ca="1">'SW(w.o.VAT)'!O45</f>
        <v>0</v>
      </c>
      <c r="K50" s="362">
        <f ca="1">'SW(w.o.VAT)'!I45</f>
        <v>0</v>
      </c>
      <c r="L50" s="363">
        <f t="shared" ca="1" si="8"/>
        <v>0</v>
      </c>
      <c r="M50" s="435">
        <f ca="1">ROUND($K50*(1-'Наценки-Скидки'!$I$8),2)</f>
        <v>0</v>
      </c>
      <c r="N50" s="441">
        <f t="shared" ca="1" si="7"/>
        <v>0</v>
      </c>
      <c r="O50" s="442">
        <f t="shared" ca="1" si="5"/>
        <v>0</v>
      </c>
      <c r="S50" s="450"/>
      <c r="T50" s="542"/>
    </row>
    <row r="51" spans="8:20" ht="17.100000000000001" customHeight="1" thickBot="1">
      <c r="H51" s="422"/>
      <c r="I51" s="423" t="s">
        <v>52</v>
      </c>
      <c r="J51" s="424">
        <f>IFERROR(SUM(J52,J56,J60,J64,J68,J72,J76,J80,J84),0)</f>
        <v>0</v>
      </c>
      <c r="K51" s="425">
        <f>IFERROR(SUM(K52,K56,K60,K64,K68,K72,K76,K80,K84),0)</f>
        <v>0</v>
      </c>
      <c r="L51" s="426">
        <f>IFERROR(SUM(L52,L56,L60,L64,L68,L72,L76,L80,L84),0)</f>
        <v>0</v>
      </c>
      <c r="M51" s="425">
        <f>IFERROR(SUM(M52,M56,M60,M64,M68,M72,M76,M80,M84),0)</f>
        <v>0</v>
      </c>
      <c r="N51" s="427">
        <f>IFERROR(SUM(N52,N56,N60,N64,N68,N72,N76,N80,N84,),0)</f>
        <v>0</v>
      </c>
      <c r="O51" s="428">
        <f t="shared" si="5"/>
        <v>0</v>
      </c>
      <c r="S51" s="451"/>
      <c r="T51" s="543"/>
    </row>
    <row r="52" spans="8:20" ht="15.75" thickBot="1">
      <c r="H52" s="76"/>
      <c r="I52" s="370" t="str">
        <f>I21</f>
        <v>&lt;Наименование работ&gt; №1</v>
      </c>
      <c r="J52" s="276">
        <f>SUM(J53:J55)</f>
        <v>0</v>
      </c>
      <c r="K52" s="285">
        <f>ROUND(SUM(K53:K55),2)</f>
        <v>0</v>
      </c>
      <c r="L52" s="338">
        <f>SUM(L53:L54)</f>
        <v>0</v>
      </c>
      <c r="M52" s="371">
        <f>ROUND(SUM(M53:M55),2)</f>
        <v>0</v>
      </c>
      <c r="N52" s="342">
        <f>SUM(N53:N55)</f>
        <v>0</v>
      </c>
      <c r="O52" s="372">
        <f t="shared" si="5"/>
        <v>0</v>
      </c>
      <c r="S52" s="451"/>
      <c r="T52" s="544"/>
    </row>
    <row r="53" spans="8:20" ht="17.100000000000001" customHeight="1" thickBot="1">
      <c r="H53" s="82"/>
      <c r="I53" s="288" t="s">
        <v>204</v>
      </c>
      <c r="J53" s="289">
        <f>M21</f>
        <v>0</v>
      </c>
      <c r="K53" s="274">
        <f>ROUND($J53/(1-'Наценки-Скидки'!$F$7),2)</f>
        <v>0</v>
      </c>
      <c r="L53" s="337">
        <f>$K53-$J53</f>
        <v>0</v>
      </c>
      <c r="M53" s="453">
        <f>ROUND($K53*(1-'Наценки-Скидки'!$I$9),2)</f>
        <v>0</v>
      </c>
      <c r="N53" s="437">
        <f t="shared" ref="N53:N55" si="9">$M53-$J53</f>
        <v>0</v>
      </c>
      <c r="O53" s="436">
        <f t="shared" si="5"/>
        <v>0</v>
      </c>
      <c r="S53" s="450"/>
      <c r="T53" s="542"/>
    </row>
    <row r="54" spans="8:20" ht="17.100000000000001" customHeight="1" thickBot="1">
      <c r="H54" s="82"/>
      <c r="I54" s="159" t="s">
        <v>96</v>
      </c>
      <c r="J54" s="287">
        <f>J21</f>
        <v>0</v>
      </c>
      <c r="K54" s="274">
        <f>ROUND($J54/(1-'Наценки-Скидки'!$F$7),2)</f>
        <v>0</v>
      </c>
      <c r="L54" s="337">
        <f t="shared" ref="L54:L87" si="10">$K54-$J54</f>
        <v>0</v>
      </c>
      <c r="M54" s="453">
        <f>ROUND($K54*(1-'Наценки-Скидки'!$I$9),2)</f>
        <v>0</v>
      </c>
      <c r="N54" s="454">
        <f t="shared" si="9"/>
        <v>0</v>
      </c>
      <c r="O54" s="436">
        <f t="shared" si="5"/>
        <v>0</v>
      </c>
      <c r="S54" s="451"/>
      <c r="T54" s="543"/>
    </row>
    <row r="55" spans="8:20" ht="17.100000000000001" customHeight="1" thickBot="1">
      <c r="H55" s="89"/>
      <c r="I55" s="373" t="s">
        <v>124</v>
      </c>
      <c r="J55" s="374"/>
      <c r="K55" s="455">
        <f>ROUND($J55/(1-'Наценки-Скидки'!$F$7),2)</f>
        <v>0</v>
      </c>
      <c r="L55" s="456">
        <f t="shared" si="10"/>
        <v>0</v>
      </c>
      <c r="M55" s="457">
        <f>ROUND($K55*(1-'Наценки-Скидки'!$I$9),2)</f>
        <v>0</v>
      </c>
      <c r="N55" s="458">
        <f t="shared" si="9"/>
        <v>0</v>
      </c>
      <c r="O55" s="439">
        <f t="shared" si="5"/>
        <v>0</v>
      </c>
      <c r="S55" s="451"/>
      <c r="T55" s="544"/>
    </row>
    <row r="56" spans="8:20" ht="15.75" thickBot="1">
      <c r="H56" s="76"/>
      <c r="I56" s="370" t="str">
        <f>I22</f>
        <v>&lt;Наименование работ&gt; №2</v>
      </c>
      <c r="J56" s="276">
        <f>SUM(J57:J59)</f>
        <v>0</v>
      </c>
      <c r="K56" s="285">
        <f>ROUND(SUM(K57:K59),2)</f>
        <v>0</v>
      </c>
      <c r="L56" s="338">
        <f t="shared" si="10"/>
        <v>0</v>
      </c>
      <c r="M56" s="371">
        <f>ROUND(SUM(M57:M59),2)</f>
        <v>0</v>
      </c>
      <c r="N56" s="342">
        <f>SUM(N57:N59)</f>
        <v>0</v>
      </c>
      <c r="O56" s="372">
        <f t="shared" si="5"/>
        <v>0</v>
      </c>
      <c r="S56" s="450"/>
      <c r="T56" s="542"/>
    </row>
    <row r="57" spans="8:20" ht="17.100000000000001" customHeight="1" thickBot="1">
      <c r="H57" s="82"/>
      <c r="I57" s="288" t="s">
        <v>204</v>
      </c>
      <c r="J57" s="289">
        <f>M22</f>
        <v>0</v>
      </c>
      <c r="K57" s="274">
        <f>ROUND($J57/(1-'Наценки-Скидки'!$F$7),2)</f>
        <v>0</v>
      </c>
      <c r="L57" s="337">
        <f t="shared" si="10"/>
        <v>0</v>
      </c>
      <c r="M57" s="453">
        <f>ROUND($K57*(1-'Наценки-Скидки'!$I$9),2)</f>
        <v>0</v>
      </c>
      <c r="N57" s="437">
        <f t="shared" ref="N57:N59" si="11">$M57-$J57</f>
        <v>0</v>
      </c>
      <c r="O57" s="436">
        <f t="shared" si="5"/>
        <v>0</v>
      </c>
      <c r="S57" s="450"/>
      <c r="T57" s="543"/>
    </row>
    <row r="58" spans="8:20" ht="17.100000000000001" customHeight="1" thickBot="1">
      <c r="H58" s="82"/>
      <c r="I58" s="159" t="s">
        <v>96</v>
      </c>
      <c r="J58" s="287">
        <f>J22</f>
        <v>0</v>
      </c>
      <c r="K58" s="274">
        <f>ROUND($J58/(1-'Наценки-Скидки'!$F$7),2)</f>
        <v>0</v>
      </c>
      <c r="L58" s="337">
        <f t="shared" si="10"/>
        <v>0</v>
      </c>
      <c r="M58" s="453">
        <f>ROUND($K58*(1-'Наценки-Скидки'!$I$9),2)</f>
        <v>0</v>
      </c>
      <c r="N58" s="454">
        <f t="shared" si="11"/>
        <v>0</v>
      </c>
      <c r="O58" s="436">
        <f t="shared" si="5"/>
        <v>0</v>
      </c>
      <c r="S58" s="450"/>
      <c r="T58" s="544"/>
    </row>
    <row r="59" spans="8:20" ht="17.100000000000001" customHeight="1" thickBot="1">
      <c r="H59" s="89"/>
      <c r="I59" s="373" t="s">
        <v>124</v>
      </c>
      <c r="J59" s="374">
        <f>G21</f>
        <v>0</v>
      </c>
      <c r="K59" s="455">
        <f>ROUND($J59/(1-'Наценки-Скидки'!$F$7),2)</f>
        <v>0</v>
      </c>
      <c r="L59" s="456">
        <f t="shared" si="10"/>
        <v>0</v>
      </c>
      <c r="M59" s="457">
        <f>ROUND($K59*(1-'Наценки-Скидки'!$I$9),2)</f>
        <v>0</v>
      </c>
      <c r="N59" s="458">
        <f t="shared" si="11"/>
        <v>0</v>
      </c>
      <c r="O59" s="439">
        <f t="shared" si="5"/>
        <v>0</v>
      </c>
      <c r="S59" s="450"/>
      <c r="T59" s="542"/>
    </row>
    <row r="60" spans="8:20" ht="15.75" thickBot="1">
      <c r="H60" s="87"/>
      <c r="I60" s="365" t="str">
        <f>I23</f>
        <v>&lt;Наименование работ&gt; №3</v>
      </c>
      <c r="J60" s="277">
        <f>SUM(J61:J63)</f>
        <v>0</v>
      </c>
      <c r="K60" s="286">
        <f>ROUND(SUM(K61:K63),2)</f>
        <v>0</v>
      </c>
      <c r="L60" s="366">
        <f t="shared" si="10"/>
        <v>0</v>
      </c>
      <c r="M60" s="367">
        <f>ROUND(SUM(M61:M63),2)</f>
        <v>0</v>
      </c>
      <c r="N60" s="368">
        <f>SUM(N61:N63)</f>
        <v>0</v>
      </c>
      <c r="O60" s="369">
        <f t="shared" si="5"/>
        <v>0</v>
      </c>
      <c r="S60" s="450"/>
      <c r="T60" s="543"/>
    </row>
    <row r="61" spans="8:20" ht="17.100000000000001" customHeight="1" thickBot="1">
      <c r="H61" s="82"/>
      <c r="I61" s="288" t="s">
        <v>204</v>
      </c>
      <c r="J61" s="289">
        <f>M23</f>
        <v>0</v>
      </c>
      <c r="K61" s="274">
        <f>ROUND($J61/(1-'Наценки-Скидки'!$F$7),2)</f>
        <v>0</v>
      </c>
      <c r="L61" s="337">
        <f t="shared" si="10"/>
        <v>0</v>
      </c>
      <c r="M61" s="453">
        <f>ROUND($K61*(1-'Наценки-Скидки'!$I$9),2)</f>
        <v>0</v>
      </c>
      <c r="N61" s="437">
        <f t="shared" ref="N61:N63" si="12">$M61-$J61</f>
        <v>0</v>
      </c>
      <c r="O61" s="436">
        <f t="shared" si="5"/>
        <v>0</v>
      </c>
      <c r="S61" s="450"/>
      <c r="T61" s="544"/>
    </row>
    <row r="62" spans="8:20" ht="17.100000000000001" customHeight="1" thickBot="1">
      <c r="H62" s="82"/>
      <c r="I62" s="159" t="s">
        <v>96</v>
      </c>
      <c r="J62" s="287">
        <f>J23</f>
        <v>0</v>
      </c>
      <c r="K62" s="274">
        <f>ROUND($J62/(1-'Наценки-Скидки'!$F$7),2)</f>
        <v>0</v>
      </c>
      <c r="L62" s="337">
        <f t="shared" si="10"/>
        <v>0</v>
      </c>
      <c r="M62" s="453">
        <f>ROUND($K62*(1-'Наценки-Скидки'!$I$9),2)</f>
        <v>0</v>
      </c>
      <c r="N62" s="454">
        <f t="shared" si="12"/>
        <v>0</v>
      </c>
      <c r="O62" s="436">
        <f t="shared" si="5"/>
        <v>0</v>
      </c>
      <c r="T62" s="452"/>
    </row>
    <row r="63" spans="8:20" ht="17.100000000000001" customHeight="1" thickBot="1">
      <c r="H63" s="375"/>
      <c r="I63" s="376" t="s">
        <v>124</v>
      </c>
      <c r="J63" s="377">
        <f>G22</f>
        <v>0</v>
      </c>
      <c r="K63" s="361">
        <f>ROUND($J63/(1-'Наценки-Скидки'!$F$7),2)</f>
        <v>0</v>
      </c>
      <c r="L63" s="363">
        <f t="shared" si="10"/>
        <v>0</v>
      </c>
      <c r="M63" s="459">
        <f>ROUND($K63*(1-'Наценки-Скидки'!$I$9),2)</f>
        <v>0</v>
      </c>
      <c r="N63" s="460">
        <f t="shared" si="12"/>
        <v>0</v>
      </c>
      <c r="O63" s="440">
        <f t="shared" si="5"/>
        <v>0</v>
      </c>
      <c r="T63" s="452"/>
    </row>
    <row r="64" spans="8:20" ht="15">
      <c r="H64" s="76"/>
      <c r="I64" s="370" t="str">
        <f>I24</f>
        <v>&lt;Наименование работ&gt; №4</v>
      </c>
      <c r="J64" s="276">
        <f>SUM(J65:J67)</f>
        <v>0</v>
      </c>
      <c r="K64" s="285">
        <f>ROUND(SUM(K65:K67),2)</f>
        <v>0</v>
      </c>
      <c r="L64" s="338">
        <f t="shared" si="10"/>
        <v>0</v>
      </c>
      <c r="M64" s="371">
        <f>ROUND(SUM(M65:M67),2)</f>
        <v>0</v>
      </c>
      <c r="N64" s="342">
        <f>SUM(N65:N67)</f>
        <v>0</v>
      </c>
      <c r="O64" s="372">
        <f t="shared" si="5"/>
        <v>0</v>
      </c>
      <c r="S64" s="321"/>
      <c r="T64" s="432"/>
    </row>
    <row r="65" spans="8:19" ht="17.25" customHeight="1">
      <c r="H65" s="82"/>
      <c r="I65" s="288" t="s">
        <v>204</v>
      </c>
      <c r="J65" s="289">
        <f>M24</f>
        <v>0</v>
      </c>
      <c r="K65" s="274">
        <f>ROUND($J65/(1-'Наценки-Скидки'!$F$7),2)</f>
        <v>0</v>
      </c>
      <c r="L65" s="337">
        <f t="shared" si="10"/>
        <v>0</v>
      </c>
      <c r="M65" s="453">
        <f>ROUND($K65*(1-'Наценки-Скидки'!$I$9),2)</f>
        <v>0</v>
      </c>
      <c r="N65" s="437">
        <f t="shared" ref="N65:N67" si="13">$M65-$J65</f>
        <v>0</v>
      </c>
      <c r="O65" s="436">
        <f t="shared" si="5"/>
        <v>0</v>
      </c>
      <c r="S65" s="321"/>
    </row>
    <row r="66" spans="8:19" ht="17.100000000000001" customHeight="1">
      <c r="H66" s="82"/>
      <c r="I66" s="159" t="s">
        <v>96</v>
      </c>
      <c r="J66" s="287">
        <f>J24</f>
        <v>0</v>
      </c>
      <c r="K66" s="274">
        <f>ROUND($J66/(1-'Наценки-Скидки'!$F$7),2)</f>
        <v>0</v>
      </c>
      <c r="L66" s="337">
        <f t="shared" si="10"/>
        <v>0</v>
      </c>
      <c r="M66" s="453">
        <f>ROUND($K66*(1-'Наценки-Скидки'!$I$9),2)</f>
        <v>0</v>
      </c>
      <c r="N66" s="454">
        <f t="shared" si="13"/>
        <v>0</v>
      </c>
      <c r="O66" s="436">
        <f t="shared" si="5"/>
        <v>0</v>
      </c>
      <c r="S66" s="321"/>
    </row>
    <row r="67" spans="8:19" ht="17.100000000000001" customHeight="1" thickBot="1">
      <c r="H67" s="89"/>
      <c r="I67" s="373" t="s">
        <v>124</v>
      </c>
      <c r="J67" s="374">
        <f>G23</f>
        <v>0</v>
      </c>
      <c r="K67" s="455">
        <f>ROUND($J67/(1-'Наценки-Скидки'!$F$7),2)</f>
        <v>0</v>
      </c>
      <c r="L67" s="456">
        <f t="shared" si="10"/>
        <v>0</v>
      </c>
      <c r="M67" s="457">
        <f>ROUND($K67*(1-'Наценки-Скидки'!$I$9),2)</f>
        <v>0</v>
      </c>
      <c r="N67" s="458">
        <f t="shared" si="13"/>
        <v>0</v>
      </c>
      <c r="O67" s="439">
        <f t="shared" si="5"/>
        <v>0</v>
      </c>
      <c r="S67" s="321"/>
    </row>
    <row r="68" spans="8:19" ht="15">
      <c r="H68" s="87"/>
      <c r="I68" s="365" t="str">
        <f>I25</f>
        <v>&lt;Наименование работ&gt; №5</v>
      </c>
      <c r="J68" s="277">
        <f>SUM(J69:J71)</f>
        <v>0</v>
      </c>
      <c r="K68" s="286">
        <f>ROUND(SUM(K69:K71),2)</f>
        <v>0</v>
      </c>
      <c r="L68" s="366">
        <f t="shared" si="10"/>
        <v>0</v>
      </c>
      <c r="M68" s="367">
        <f>ROUND(SUM(M69:M71),2)</f>
        <v>0</v>
      </c>
      <c r="N68" s="368">
        <f>SUM(N69:N71)</f>
        <v>0</v>
      </c>
      <c r="O68" s="369">
        <f t="shared" si="5"/>
        <v>0</v>
      </c>
      <c r="S68" s="321"/>
    </row>
    <row r="69" spans="8:19" ht="17.100000000000001" customHeight="1">
      <c r="H69" s="82"/>
      <c r="I69" s="288" t="s">
        <v>204</v>
      </c>
      <c r="J69" s="289">
        <f>M25</f>
        <v>0</v>
      </c>
      <c r="K69" s="274">
        <f>ROUND($J69/(1-'Наценки-Скидки'!$F$7),2)</f>
        <v>0</v>
      </c>
      <c r="L69" s="337">
        <f t="shared" si="10"/>
        <v>0</v>
      </c>
      <c r="M69" s="453">
        <f>ROUND($K69*(1-'Наценки-Скидки'!$I$9),2)</f>
        <v>0</v>
      </c>
      <c r="N69" s="437">
        <f t="shared" ref="N69:N71" si="14">$M69-$J69</f>
        <v>0</v>
      </c>
      <c r="O69" s="436">
        <f t="shared" si="5"/>
        <v>0</v>
      </c>
      <c r="S69" s="321"/>
    </row>
    <row r="70" spans="8:19" ht="17.100000000000001" customHeight="1">
      <c r="H70" s="82"/>
      <c r="I70" s="159" t="s">
        <v>96</v>
      </c>
      <c r="J70" s="287">
        <f>J25</f>
        <v>0</v>
      </c>
      <c r="K70" s="274">
        <f>ROUND($J70/(1-'Наценки-Скидки'!$F$7),2)</f>
        <v>0</v>
      </c>
      <c r="L70" s="337">
        <f t="shared" si="10"/>
        <v>0</v>
      </c>
      <c r="M70" s="453">
        <f>ROUND($K70*(1-'Наценки-Скидки'!$I$9),2)</f>
        <v>0</v>
      </c>
      <c r="N70" s="454">
        <f t="shared" si="14"/>
        <v>0</v>
      </c>
      <c r="O70" s="436">
        <f t="shared" si="5"/>
        <v>0</v>
      </c>
      <c r="S70" s="321"/>
    </row>
    <row r="71" spans="8:19" ht="17.100000000000001" customHeight="1" thickBot="1">
      <c r="H71" s="375"/>
      <c r="I71" s="376" t="s">
        <v>124</v>
      </c>
      <c r="J71" s="377">
        <f>G24</f>
        <v>0</v>
      </c>
      <c r="K71" s="361">
        <f>ROUND($J71/(1-'Наценки-Скидки'!$F$7),2)</f>
        <v>0</v>
      </c>
      <c r="L71" s="363">
        <f t="shared" si="10"/>
        <v>0</v>
      </c>
      <c r="M71" s="459">
        <f>ROUND($K71*(1-'Наценки-Скидки'!$I$9),2)</f>
        <v>0</v>
      </c>
      <c r="N71" s="460">
        <f t="shared" si="14"/>
        <v>0</v>
      </c>
      <c r="O71" s="383">
        <f t="shared" si="5"/>
        <v>0</v>
      </c>
      <c r="S71" s="321"/>
    </row>
    <row r="72" spans="8:19" ht="17.100000000000001" customHeight="1">
      <c r="H72" s="76"/>
      <c r="I72" s="370" t="str">
        <f>I26</f>
        <v>&lt;Наименование работ&gt; №6</v>
      </c>
      <c r="J72" s="276">
        <f>SUM(J73:J75)</f>
        <v>0</v>
      </c>
      <c r="K72" s="285">
        <f>ROUND(SUM(K73:K75),2)</f>
        <v>0</v>
      </c>
      <c r="L72" s="338">
        <f t="shared" si="10"/>
        <v>0</v>
      </c>
      <c r="M72" s="371">
        <f>ROUND(SUM(M73:M75),2)</f>
        <v>0</v>
      </c>
      <c r="N72" s="342">
        <f>SUM(N73:N75)</f>
        <v>0</v>
      </c>
      <c r="O72" s="372">
        <f t="shared" si="5"/>
        <v>0</v>
      </c>
      <c r="S72" s="321"/>
    </row>
    <row r="73" spans="8:19" ht="17.100000000000001" customHeight="1">
      <c r="H73" s="82"/>
      <c r="I73" s="288" t="s">
        <v>204</v>
      </c>
      <c r="J73" s="289">
        <f>M26</f>
        <v>0</v>
      </c>
      <c r="K73" s="274">
        <f>ROUND($J73/(1-'Наценки-Скидки'!$F$7),2)</f>
        <v>0</v>
      </c>
      <c r="L73" s="337">
        <f t="shared" si="10"/>
        <v>0</v>
      </c>
      <c r="M73" s="453">
        <f>ROUND($K73*(1-'Наценки-Скидки'!$I$9),2)</f>
        <v>0</v>
      </c>
      <c r="N73" s="437">
        <f t="shared" ref="N73:N75" si="15">$M73-$J73</f>
        <v>0</v>
      </c>
      <c r="O73" s="436">
        <f t="shared" si="5"/>
        <v>0</v>
      </c>
      <c r="S73" s="321"/>
    </row>
    <row r="74" spans="8:19" ht="17.100000000000001" customHeight="1">
      <c r="H74" s="82"/>
      <c r="I74" s="159" t="s">
        <v>96</v>
      </c>
      <c r="J74" s="287">
        <f>J26</f>
        <v>0</v>
      </c>
      <c r="K74" s="274">
        <f>ROUND($J74/(1-'Наценки-Скидки'!$F$7),2)</f>
        <v>0</v>
      </c>
      <c r="L74" s="337">
        <f t="shared" si="10"/>
        <v>0</v>
      </c>
      <c r="M74" s="453">
        <f>ROUND($K74*(1-'Наценки-Скидки'!$I$9),2)</f>
        <v>0</v>
      </c>
      <c r="N74" s="454">
        <f t="shared" si="15"/>
        <v>0</v>
      </c>
      <c r="O74" s="436">
        <f t="shared" si="5"/>
        <v>0</v>
      </c>
      <c r="S74" s="321"/>
    </row>
    <row r="75" spans="8:19" ht="17.100000000000001" customHeight="1" thickBot="1">
      <c r="H75" s="89"/>
      <c r="I75" s="373" t="s">
        <v>124</v>
      </c>
      <c r="J75" s="374"/>
      <c r="K75" s="455">
        <f>ROUND($J75/(1-'Наценки-Скидки'!$F$7),2)</f>
        <v>0</v>
      </c>
      <c r="L75" s="456">
        <f t="shared" si="10"/>
        <v>0</v>
      </c>
      <c r="M75" s="457">
        <f>ROUND($K75*(1-'Наценки-Скидки'!$I$9),2)</f>
        <v>0</v>
      </c>
      <c r="N75" s="458">
        <f t="shared" si="15"/>
        <v>0</v>
      </c>
      <c r="O75" s="439">
        <f t="shared" si="5"/>
        <v>0</v>
      </c>
      <c r="S75" s="321"/>
    </row>
    <row r="76" spans="8:19" ht="17.100000000000001" customHeight="1">
      <c r="H76" s="87"/>
      <c r="I76" s="365" t="str">
        <f>I27</f>
        <v>&lt;Наименование работ&gt; №7</v>
      </c>
      <c r="J76" s="277">
        <f>SUM(J77:J79)</f>
        <v>0</v>
      </c>
      <c r="K76" s="286">
        <f>ROUND(SUM(K77:K79),2)</f>
        <v>0</v>
      </c>
      <c r="L76" s="366">
        <f t="shared" si="10"/>
        <v>0</v>
      </c>
      <c r="M76" s="367">
        <f>ROUND(SUM(M77:M79),2)</f>
        <v>0</v>
      </c>
      <c r="N76" s="368">
        <f>SUM(N77:N79)</f>
        <v>0</v>
      </c>
      <c r="O76" s="369">
        <f t="shared" si="5"/>
        <v>0</v>
      </c>
      <c r="S76" s="321"/>
    </row>
    <row r="77" spans="8:19" ht="17.100000000000001" customHeight="1">
      <c r="H77" s="82"/>
      <c r="I77" s="288" t="s">
        <v>204</v>
      </c>
      <c r="J77" s="289">
        <f>M27</f>
        <v>0</v>
      </c>
      <c r="K77" s="274">
        <f>ROUND($J77/(1-'Наценки-Скидки'!$F$7),2)</f>
        <v>0</v>
      </c>
      <c r="L77" s="337">
        <f t="shared" si="10"/>
        <v>0</v>
      </c>
      <c r="M77" s="453">
        <f>ROUND($K77*(1-'Наценки-Скидки'!$I$9),2)</f>
        <v>0</v>
      </c>
      <c r="N77" s="437">
        <f t="shared" ref="N77:N79" si="16">$M77-$J77</f>
        <v>0</v>
      </c>
      <c r="O77" s="436">
        <f t="shared" si="5"/>
        <v>0</v>
      </c>
      <c r="S77" s="321"/>
    </row>
    <row r="78" spans="8:19" ht="17.100000000000001" customHeight="1">
      <c r="H78" s="82"/>
      <c r="I78" s="159" t="s">
        <v>96</v>
      </c>
      <c r="J78" s="287">
        <f>J27</f>
        <v>0</v>
      </c>
      <c r="K78" s="274">
        <f>ROUND($J78/(1-'Наценки-Скидки'!$F$7),2)</f>
        <v>0</v>
      </c>
      <c r="L78" s="337">
        <f t="shared" si="10"/>
        <v>0</v>
      </c>
      <c r="M78" s="453">
        <f>ROUND($K78*(1-'Наценки-Скидки'!$I$9),2)</f>
        <v>0</v>
      </c>
      <c r="N78" s="454">
        <f t="shared" si="16"/>
        <v>0</v>
      </c>
      <c r="O78" s="436">
        <f t="shared" si="5"/>
        <v>0</v>
      </c>
      <c r="S78" s="321"/>
    </row>
    <row r="79" spans="8:19" ht="17.100000000000001" customHeight="1" thickBot="1">
      <c r="H79" s="375"/>
      <c r="I79" s="376" t="s">
        <v>124</v>
      </c>
      <c r="J79" s="377"/>
      <c r="K79" s="361">
        <f>ROUND($J79/(1-'Наценки-Скидки'!$F$7),2)</f>
        <v>0</v>
      </c>
      <c r="L79" s="363">
        <f t="shared" si="10"/>
        <v>0</v>
      </c>
      <c r="M79" s="459">
        <f>ROUND($K79*(1-'Наценки-Скидки'!$I$9),2)</f>
        <v>0</v>
      </c>
      <c r="N79" s="460">
        <f t="shared" si="16"/>
        <v>0</v>
      </c>
      <c r="O79" s="440">
        <f t="shared" si="5"/>
        <v>0</v>
      </c>
      <c r="S79" s="321"/>
    </row>
    <row r="80" spans="8:19" ht="17.100000000000001" customHeight="1">
      <c r="H80" s="76"/>
      <c r="I80" s="370" t="str">
        <f>I28</f>
        <v>&lt;Наименование работ&gt; №8</v>
      </c>
      <c r="J80" s="276">
        <f>SUM(J81:J83)</f>
        <v>0</v>
      </c>
      <c r="K80" s="285">
        <f>ROUND(SUM(K81:K83),2)</f>
        <v>0</v>
      </c>
      <c r="L80" s="338">
        <f t="shared" si="10"/>
        <v>0</v>
      </c>
      <c r="M80" s="371">
        <f>ROUND(SUM(M81:M83),2)</f>
        <v>0</v>
      </c>
      <c r="N80" s="342">
        <f>SUM(N81:N83)</f>
        <v>0</v>
      </c>
      <c r="O80" s="372">
        <f t="shared" si="5"/>
        <v>0</v>
      </c>
      <c r="S80" s="321"/>
    </row>
    <row r="81" spans="8:26" ht="17.100000000000001" customHeight="1">
      <c r="H81" s="82"/>
      <c r="I81" s="288" t="s">
        <v>204</v>
      </c>
      <c r="J81" s="289">
        <f>M28</f>
        <v>0</v>
      </c>
      <c r="K81" s="274">
        <f>ROUND($J81/(1-'Наценки-Скидки'!$F$7),2)</f>
        <v>0</v>
      </c>
      <c r="L81" s="337">
        <f t="shared" si="10"/>
        <v>0</v>
      </c>
      <c r="M81" s="453">
        <f>ROUND($K81*(1-'Наценки-Скидки'!$I$9),2)</f>
        <v>0</v>
      </c>
      <c r="N81" s="437">
        <f t="shared" ref="N81:N83" si="17">$M81-$J81</f>
        <v>0</v>
      </c>
      <c r="O81" s="436">
        <f t="shared" si="5"/>
        <v>0</v>
      </c>
      <c r="S81" s="321"/>
    </row>
    <row r="82" spans="8:26" ht="17.100000000000001" customHeight="1">
      <c r="H82" s="82"/>
      <c r="I82" s="159" t="s">
        <v>96</v>
      </c>
      <c r="J82" s="287">
        <f>J28</f>
        <v>0</v>
      </c>
      <c r="K82" s="274">
        <f>ROUND($J82/(1-'Наценки-Скидки'!$F$7),2)</f>
        <v>0</v>
      </c>
      <c r="L82" s="337">
        <f t="shared" si="10"/>
        <v>0</v>
      </c>
      <c r="M82" s="453">
        <f>ROUND($K82*(1-'Наценки-Скидки'!$I$9),2)</f>
        <v>0</v>
      </c>
      <c r="N82" s="454">
        <f t="shared" si="17"/>
        <v>0</v>
      </c>
      <c r="O82" s="436">
        <f t="shared" si="5"/>
        <v>0</v>
      </c>
      <c r="S82" s="321"/>
    </row>
    <row r="83" spans="8:26" ht="17.100000000000001" customHeight="1" thickBot="1">
      <c r="H83" s="89"/>
      <c r="I83" s="373" t="s">
        <v>124</v>
      </c>
      <c r="J83" s="374"/>
      <c r="K83" s="455">
        <f>ROUND($J83/(1-'Наценки-Скидки'!$F$7),2)</f>
        <v>0</v>
      </c>
      <c r="L83" s="456">
        <f t="shared" si="10"/>
        <v>0</v>
      </c>
      <c r="M83" s="457">
        <f>ROUND($K83*(1-'Наценки-Скидки'!$I$9),2)</f>
        <v>0</v>
      </c>
      <c r="N83" s="458">
        <f t="shared" si="17"/>
        <v>0</v>
      </c>
      <c r="O83" s="439">
        <f t="shared" si="5"/>
        <v>0</v>
      </c>
      <c r="S83" s="321"/>
    </row>
    <row r="84" spans="8:26" ht="17.100000000000001" customHeight="1">
      <c r="H84" s="76"/>
      <c r="I84" s="370" t="str">
        <f>I29</f>
        <v>&lt;Наименование работ&gt; №9</v>
      </c>
      <c r="J84" s="276">
        <f>SUM(J85:J87)</f>
        <v>0</v>
      </c>
      <c r="K84" s="285">
        <f>ROUND(SUM(K85:K87),2)</f>
        <v>0</v>
      </c>
      <c r="L84" s="338">
        <f t="shared" si="10"/>
        <v>0</v>
      </c>
      <c r="M84" s="371">
        <f>ROUND(SUM(M85:M87),2)</f>
        <v>0</v>
      </c>
      <c r="N84" s="342">
        <f>SUM(N85:N87)</f>
        <v>0</v>
      </c>
      <c r="O84" s="372">
        <f t="shared" si="5"/>
        <v>0</v>
      </c>
      <c r="S84" s="321"/>
    </row>
    <row r="85" spans="8:26" ht="17.100000000000001" customHeight="1">
      <c r="H85" s="82"/>
      <c r="I85" s="288" t="s">
        <v>204</v>
      </c>
      <c r="J85" s="289">
        <f>M29</f>
        <v>0</v>
      </c>
      <c r="K85" s="274">
        <f>ROUND($J85/(1-'Наценки-Скидки'!$F$7),2)</f>
        <v>0</v>
      </c>
      <c r="L85" s="337">
        <f t="shared" si="10"/>
        <v>0</v>
      </c>
      <c r="M85" s="453">
        <f>ROUND($K85*(1-'Наценки-Скидки'!$I$9),2)</f>
        <v>0</v>
      </c>
      <c r="N85" s="437">
        <f t="shared" ref="N85:N87" si="18">$M85-$J85</f>
        <v>0</v>
      </c>
      <c r="O85" s="436">
        <f t="shared" si="5"/>
        <v>0</v>
      </c>
      <c r="S85" s="321"/>
    </row>
    <row r="86" spans="8:26" ht="17.100000000000001" customHeight="1">
      <c r="H86" s="82"/>
      <c r="I86" s="159" t="s">
        <v>96</v>
      </c>
      <c r="J86" s="287">
        <f>J29</f>
        <v>0</v>
      </c>
      <c r="K86" s="274">
        <f>ROUND($J86/(1-'Наценки-Скидки'!$F$7),2)</f>
        <v>0</v>
      </c>
      <c r="L86" s="337">
        <f t="shared" si="10"/>
        <v>0</v>
      </c>
      <c r="M86" s="453">
        <f>ROUND($K86*(1-'Наценки-Скидки'!$I$9),2)</f>
        <v>0</v>
      </c>
      <c r="N86" s="454">
        <f t="shared" si="18"/>
        <v>0</v>
      </c>
      <c r="O86" s="436">
        <f t="shared" si="5"/>
        <v>0</v>
      </c>
      <c r="S86" s="321"/>
    </row>
    <row r="87" spans="8:26" ht="17.100000000000001" customHeight="1" thickBot="1">
      <c r="H87" s="89"/>
      <c r="I87" s="373" t="s">
        <v>124</v>
      </c>
      <c r="J87" s="374"/>
      <c r="K87" s="455">
        <f>ROUND($J87/(1-'Наценки-Скидки'!$F$7),2)</f>
        <v>0</v>
      </c>
      <c r="L87" s="456">
        <f t="shared" si="10"/>
        <v>0</v>
      </c>
      <c r="M87" s="457">
        <f>ROUND($K87*(1-'Наценки-Скидки'!$I$9),2)</f>
        <v>0</v>
      </c>
      <c r="N87" s="458">
        <f t="shared" si="18"/>
        <v>0</v>
      </c>
      <c r="O87" s="439">
        <f t="shared" si="5"/>
        <v>0</v>
      </c>
      <c r="S87" s="321"/>
    </row>
    <row r="88" spans="8:26" ht="17.100000000000001" customHeight="1">
      <c r="H88" s="378"/>
      <c r="I88" s="379" t="s">
        <v>42</v>
      </c>
      <c r="J88" s="278">
        <f ca="1">SUM(J51,J37,J47)</f>
        <v>0</v>
      </c>
      <c r="K88" s="380">
        <f ca="1">ROUND(SUM(K37,K51,K47),2)</f>
        <v>0</v>
      </c>
      <c r="L88" s="339">
        <f ca="1">SUM(L37,L47,L51)</f>
        <v>0</v>
      </c>
      <c r="M88" s="381">
        <f ca="1">ROUND(SUM(M37,M51,M47),2)</f>
        <v>0</v>
      </c>
      <c r="N88" s="343">
        <f ca="1">SUM(N37,N47,N51)</f>
        <v>0</v>
      </c>
      <c r="O88" s="382">
        <f ca="1">IF(K88=0,0,($M88-$J88)/$M88)</f>
        <v>0</v>
      </c>
      <c r="S88" s="321"/>
    </row>
    <row r="89" spans="8:26" ht="17.100000000000001" customHeight="1">
      <c r="H89" s="82"/>
      <c r="I89" s="88" t="s">
        <v>193</v>
      </c>
      <c r="J89" s="279">
        <f ca="1">SUM(J37,J47,J51)*0.22</f>
        <v>0</v>
      </c>
      <c r="K89" s="282">
        <f ca="1">ROUND(SUM(K37,K47,K51)*0.22,2)</f>
        <v>0</v>
      </c>
      <c r="L89" s="340">
        <f ca="1">SUM(L37,L51)*0.22</f>
        <v>0</v>
      </c>
      <c r="M89" s="352">
        <f ca="1">SUM(M37,M47,M51)*0.22</f>
        <v>0</v>
      </c>
      <c r="N89" s="344">
        <f ca="1">SUM(N37,N51)*0.22</f>
        <v>0</v>
      </c>
      <c r="O89" s="353">
        <f ca="1">IF(K89=0,0,($M89-$J89)/$M89)</f>
        <v>0</v>
      </c>
      <c r="S89" s="321"/>
    </row>
    <row r="90" spans="8:26" ht="17.100000000000001" customHeight="1" thickBot="1">
      <c r="H90" s="89"/>
      <c r="I90" s="90" t="s">
        <v>194</v>
      </c>
      <c r="J90" s="280">
        <f ca="1">SUM(J88:J89)</f>
        <v>0</v>
      </c>
      <c r="K90" s="283">
        <f ca="1">ROUND(SUM(K88:K89),2)</f>
        <v>0</v>
      </c>
      <c r="L90" s="341">
        <f ca="1">SUM(L88:L89)</f>
        <v>0</v>
      </c>
      <c r="M90" s="354">
        <f ca="1">ROUND(SUM(M88:M89),2)</f>
        <v>0</v>
      </c>
      <c r="N90" s="345">
        <f ca="1">SUM(N88:N89)</f>
        <v>0</v>
      </c>
      <c r="O90" s="355">
        <f t="shared" ca="1" si="5"/>
        <v>0</v>
      </c>
      <c r="S90" s="321"/>
    </row>
    <row r="91" spans="8:26" ht="13.9" customHeight="1">
      <c r="I91" s="37"/>
      <c r="J91" s="37"/>
    </row>
    <row r="92" spans="8:26" ht="13.9" customHeight="1">
      <c r="I92" s="37"/>
      <c r="J92" s="37"/>
      <c r="N92"/>
      <c r="O92"/>
      <c r="P92" s="448"/>
    </row>
    <row r="93" spans="8:26" ht="13.9" customHeight="1">
      <c r="I93" s="37"/>
      <c r="J93" s="37"/>
      <c r="O93" s="37"/>
      <c r="P93" s="448"/>
      <c r="Q93" s="444"/>
    </row>
    <row r="94" spans="8:26">
      <c r="I94" s="37"/>
      <c r="J94" s="37"/>
      <c r="O94" s="37"/>
      <c r="P94" s="448"/>
    </row>
    <row r="95" spans="8:26">
      <c r="I95" s="37"/>
      <c r="J95" s="37"/>
      <c r="M95" s="3"/>
      <c r="N95" s="3"/>
      <c r="O95" s="37"/>
      <c r="P95" s="448"/>
    </row>
    <row r="96" spans="8:26" ht="15">
      <c r="I96" s="37"/>
      <c r="J96" s="37"/>
      <c r="L96" s="3"/>
      <c r="M96" s="432"/>
      <c r="N96" s="432"/>
      <c r="O96" s="433"/>
      <c r="P96" s="448"/>
      <c r="Z96" s="44"/>
    </row>
    <row r="97" spans="12:15">
      <c r="L97" s="3"/>
      <c r="M97" s="432"/>
      <c r="N97" s="432"/>
      <c r="O97" s="432"/>
    </row>
    <row r="98" spans="12:15">
      <c r="L98" s="3"/>
      <c r="M98" s="432"/>
      <c r="N98" s="432"/>
      <c r="O98" s="432"/>
    </row>
    <row r="99" spans="12:15">
      <c r="M99" s="3"/>
    </row>
    <row r="100" spans="12:15">
      <c r="M100" s="432"/>
      <c r="N100" s="432"/>
      <c r="O100" s="432"/>
    </row>
    <row r="102" spans="12:15">
      <c r="M102" s="443"/>
    </row>
    <row r="103" spans="12:15">
      <c r="M103" s="432"/>
      <c r="N103" s="432"/>
    </row>
    <row r="105" spans="12:15">
      <c r="M105" s="432"/>
    </row>
    <row r="106" spans="12:15">
      <c r="M106" s="432"/>
      <c r="N106" s="432"/>
    </row>
    <row r="109" spans="12:15">
      <c r="M109" s="444"/>
    </row>
    <row r="122" spans="13:14">
      <c r="M122" s="432"/>
      <c r="N122" s="432"/>
    </row>
    <row r="125" spans="13:14">
      <c r="M125" s="432"/>
      <c r="N125" s="432"/>
    </row>
    <row r="128" spans="13:14">
      <c r="M128" s="432"/>
      <c r="N128" s="432"/>
    </row>
    <row r="131" spans="13:14">
      <c r="M131" s="432"/>
      <c r="N131" s="432"/>
    </row>
    <row r="134" spans="13:14">
      <c r="M134" s="432"/>
      <c r="N134" s="432"/>
    </row>
    <row r="137" spans="13:14">
      <c r="M137" s="432"/>
      <c r="N137" s="432"/>
    </row>
    <row r="140" spans="13:14">
      <c r="M140" s="432"/>
      <c r="N140" s="432"/>
    </row>
    <row r="143" spans="13:14">
      <c r="M143" s="432"/>
      <c r="N143" s="432"/>
    </row>
    <row r="145" spans="13:14">
      <c r="M145" s="432"/>
      <c r="N145" s="432"/>
    </row>
    <row r="146" spans="13:14">
      <c r="M146" s="432"/>
      <c r="N146" s="432"/>
    </row>
  </sheetData>
  <sheetProtection formatCells="0" formatColumns="0" formatRows="0" insertColumns="0" insertRows="0" insertHyperlinks="0" deleteColumns="0" deleteRows="0" sort="0" autoFilter="0" pivotTables="0"/>
  <mergeCells count="15">
    <mergeCell ref="T53:T55"/>
    <mergeCell ref="T56:T58"/>
    <mergeCell ref="T59:T61"/>
    <mergeCell ref="T38:T40"/>
    <mergeCell ref="T41:T43"/>
    <mergeCell ref="T44:T46"/>
    <mergeCell ref="T47:T49"/>
    <mergeCell ref="T50:T52"/>
    <mergeCell ref="M35:O35"/>
    <mergeCell ref="I35:L35"/>
    <mergeCell ref="I2:L2"/>
    <mergeCell ref="H2:H3"/>
    <mergeCell ref="F19:L19"/>
    <mergeCell ref="C32:I32"/>
    <mergeCell ref="J32:K32"/>
  </mergeCells>
  <phoneticPr fontId="92" type="noConversion"/>
  <pageMargins left="0.7" right="0.7" top="0.75" bottom="0.75" header="0.3" footer="0.3"/>
  <pageSetup scale="25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D17A76-34B3-4E3A-9412-3CC108886505}">
          <x14:formula1>
            <xm:f>System!$E$4:$E$6</xm:f>
          </x14:formula1>
          <xm:sqref>J32:K32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D3BE-C65A-4732-B1EB-4AA05469D9C4}">
  <sheetPr codeName="Лист4"/>
  <dimension ref="A1"/>
  <sheetViews>
    <sheetView tabSelected="1" workbookViewId="0">
      <selection activeCell="B7" sqref="B7"/>
    </sheetView>
  </sheetViews>
  <sheetFormatPr defaultRowHeight="12.75"/>
  <sheetData>
    <row r="1" spans="1:1">
      <c r="A1" s="462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7EC79-1A2E-4ADF-B3CD-8B91959F8C81}">
  <sheetPr codeName="Лист16">
    <tabColor theme="0" tint="-0.249977111117893"/>
    <pageSetUpPr fitToPage="1"/>
  </sheetPr>
  <dimension ref="B1:K23"/>
  <sheetViews>
    <sheetView workbookViewId="0"/>
  </sheetViews>
  <sheetFormatPr defaultColWidth="9.140625" defaultRowHeight="15"/>
  <cols>
    <col min="1" max="1" width="7.28515625" style="180" customWidth="1"/>
    <col min="2" max="2" width="3.85546875" style="180" customWidth="1"/>
    <col min="3" max="3" width="3.85546875" style="191" customWidth="1"/>
    <col min="4" max="4" width="42.7109375" style="191" customWidth="1"/>
    <col min="5" max="5" width="15.5703125" style="252" customWidth="1"/>
    <col min="6" max="6" width="13.5703125" style="253" customWidth="1"/>
    <col min="7" max="9" width="10.140625" style="180" customWidth="1"/>
    <col min="10" max="10" width="12.85546875" style="180" customWidth="1"/>
    <col min="11" max="11" width="15.85546875" style="191" customWidth="1"/>
    <col min="12" max="12" width="10.7109375" style="180" customWidth="1"/>
    <col min="13" max="16384" width="9.140625" style="180"/>
  </cols>
  <sheetData>
    <row r="1" spans="2:11">
      <c r="K1" s="180"/>
    </row>
    <row r="2" spans="2:11">
      <c r="G2" s="254"/>
      <c r="H2" s="254"/>
      <c r="I2" s="254"/>
      <c r="J2" s="254"/>
      <c r="K2" s="254"/>
    </row>
    <row r="3" spans="2:11" ht="15.6" customHeight="1">
      <c r="B3" s="251"/>
      <c r="C3" s="205"/>
      <c r="D3" s="205"/>
      <c r="E3" s="255" t="s">
        <v>127</v>
      </c>
      <c r="F3" s="256" t="s">
        <v>166</v>
      </c>
      <c r="G3" s="257" t="s">
        <v>167</v>
      </c>
      <c r="H3" s="257" t="s">
        <v>168</v>
      </c>
      <c r="I3" s="257" t="s">
        <v>169</v>
      </c>
      <c r="J3" s="258" t="s">
        <v>170</v>
      </c>
      <c r="K3" s="259" t="s">
        <v>171</v>
      </c>
    </row>
    <row r="4" spans="2:11" ht="40.15" customHeight="1">
      <c r="B4" s="475" t="e">
        <v>#REF!</v>
      </c>
      <c r="C4" s="476"/>
      <c r="D4" s="476"/>
      <c r="E4" s="260"/>
      <c r="F4" s="261"/>
      <c r="G4" s="262"/>
      <c r="H4" s="263"/>
      <c r="I4" s="263"/>
      <c r="J4" s="263"/>
      <c r="K4" s="263"/>
    </row>
    <row r="5" spans="2:11" ht="56.45" customHeight="1">
      <c r="B5" s="204"/>
      <c r="C5" s="478" t="e">
        <v>#REF!</v>
      </c>
      <c r="D5" s="478"/>
      <c r="E5" s="260"/>
      <c r="F5" s="261"/>
      <c r="G5" s="262"/>
      <c r="H5" s="263"/>
      <c r="I5" s="263"/>
      <c r="J5" s="263"/>
      <c r="K5" s="263"/>
    </row>
    <row r="6" spans="2:11" ht="15.6" customHeight="1">
      <c r="B6" s="204"/>
      <c r="C6" s="478" t="e">
        <v>#REF!</v>
      </c>
      <c r="D6" s="478"/>
      <c r="E6" s="260"/>
      <c r="F6" s="261"/>
      <c r="G6" s="262"/>
      <c r="H6" s="263"/>
      <c r="I6" s="263"/>
      <c r="J6" s="263"/>
      <c r="K6" s="263"/>
    </row>
    <row r="7" spans="2:11" ht="55.15" customHeight="1">
      <c r="B7" s="206"/>
      <c r="C7" s="207"/>
      <c r="D7" s="208" t="e">
        <v>#REF!</v>
      </c>
      <c r="E7" s="264">
        <v>0</v>
      </c>
      <c r="F7" s="264">
        <v>5000</v>
      </c>
      <c r="G7" s="265">
        <v>10000</v>
      </c>
      <c r="H7" s="265">
        <v>16000</v>
      </c>
      <c r="I7" s="265">
        <v>22000</v>
      </c>
      <c r="J7" s="265">
        <v>28000.000000000004</v>
      </c>
      <c r="K7" s="265">
        <v>38000</v>
      </c>
    </row>
    <row r="8" spans="2:11" ht="36" customHeight="1">
      <c r="B8" s="552" t="s">
        <v>142</v>
      </c>
      <c r="C8" s="473" t="s">
        <v>172</v>
      </c>
      <c r="D8" s="492"/>
      <c r="E8" s="264">
        <v>0</v>
      </c>
      <c r="F8" s="264">
        <v>2000</v>
      </c>
      <c r="G8" s="265">
        <v>4000</v>
      </c>
      <c r="H8" s="265">
        <v>6400</v>
      </c>
      <c r="I8" s="265">
        <v>8800</v>
      </c>
      <c r="J8" s="265">
        <v>11200.000000000002</v>
      </c>
      <c r="K8" s="265">
        <v>15200.000000000002</v>
      </c>
    </row>
    <row r="9" spans="2:11" ht="37.9" customHeight="1">
      <c r="B9" s="553"/>
      <c r="C9" s="473" t="s">
        <v>163</v>
      </c>
      <c r="D9" s="492"/>
      <c r="E9" s="264" t="s">
        <v>164</v>
      </c>
      <c r="F9" s="264">
        <v>2000</v>
      </c>
      <c r="G9" s="265">
        <v>4000</v>
      </c>
      <c r="H9" s="265">
        <v>6400</v>
      </c>
      <c r="I9" s="265">
        <v>8800</v>
      </c>
      <c r="J9" s="265">
        <v>11200.000000000002</v>
      </c>
      <c r="K9" s="265">
        <v>15200.000000000002</v>
      </c>
    </row>
    <row r="10" spans="2:11" ht="15.6" customHeight="1">
      <c r="B10" s="553"/>
      <c r="C10" s="492" t="s">
        <v>146</v>
      </c>
      <c r="D10" s="555"/>
      <c r="E10" s="264" t="s">
        <v>164</v>
      </c>
      <c r="F10" s="264">
        <v>2000</v>
      </c>
      <c r="G10" s="265">
        <v>4000</v>
      </c>
      <c r="H10" s="265">
        <v>6400</v>
      </c>
      <c r="I10" s="265">
        <v>8800</v>
      </c>
      <c r="J10" s="265">
        <v>11200.000000000002</v>
      </c>
      <c r="K10" s="265">
        <v>15200.000000000002</v>
      </c>
    </row>
    <row r="11" spans="2:11" ht="40.15" customHeight="1">
      <c r="B11" s="553"/>
      <c r="C11" s="492" t="s">
        <v>148</v>
      </c>
      <c r="D11" s="555"/>
      <c r="E11" s="264" t="s">
        <v>164</v>
      </c>
      <c r="F11" s="264" t="s">
        <v>164</v>
      </c>
      <c r="G11" s="265">
        <v>20000</v>
      </c>
      <c r="H11" s="265">
        <v>20000</v>
      </c>
      <c r="I11" s="265">
        <v>20000</v>
      </c>
      <c r="J11" s="265">
        <v>20000</v>
      </c>
      <c r="K11" s="265">
        <v>20000</v>
      </c>
    </row>
    <row r="12" spans="2:11" ht="26.45" customHeight="1" thickBot="1">
      <c r="B12" s="554"/>
      <c r="C12" s="474" t="s">
        <v>165</v>
      </c>
      <c r="D12" s="474"/>
      <c r="E12" s="264" t="s">
        <v>164</v>
      </c>
      <c r="F12" s="264" t="s">
        <v>164</v>
      </c>
      <c r="G12" s="264">
        <v>4000</v>
      </c>
      <c r="H12" s="264">
        <v>6400</v>
      </c>
      <c r="I12" s="264">
        <v>8800</v>
      </c>
      <c r="J12" s="264">
        <v>11200</v>
      </c>
      <c r="K12" s="264">
        <v>15200</v>
      </c>
    </row>
    <row r="13" spans="2:11" ht="15.6" customHeight="1">
      <c r="B13" s="552" t="s">
        <v>150</v>
      </c>
      <c r="C13" s="472" t="s">
        <v>151</v>
      </c>
      <c r="D13" s="472"/>
      <c r="E13" s="264" t="s">
        <v>164</v>
      </c>
      <c r="F13" s="264">
        <v>500</v>
      </c>
      <c r="G13" s="265">
        <v>1000</v>
      </c>
      <c r="H13" s="265">
        <v>1600</v>
      </c>
      <c r="I13" s="265">
        <v>2200</v>
      </c>
      <c r="J13" s="265">
        <v>2800.0000000000005</v>
      </c>
      <c r="K13" s="265">
        <v>3800.0000000000005</v>
      </c>
    </row>
    <row r="14" spans="2:11" ht="15.6" customHeight="1">
      <c r="B14" s="553"/>
      <c r="C14" s="473" t="s">
        <v>152</v>
      </c>
      <c r="D14" s="473"/>
      <c r="E14" s="264" t="s">
        <v>164</v>
      </c>
      <c r="F14" s="264">
        <v>500</v>
      </c>
      <c r="G14" s="265">
        <v>1000</v>
      </c>
      <c r="H14" s="265">
        <v>1600</v>
      </c>
      <c r="I14" s="265">
        <v>2200</v>
      </c>
      <c r="J14" s="265">
        <v>2800.0000000000005</v>
      </c>
      <c r="K14" s="265">
        <v>3800.0000000000005</v>
      </c>
    </row>
    <row r="15" spans="2:11" ht="44.45" customHeight="1">
      <c r="B15" s="553"/>
      <c r="C15" s="473" t="s">
        <v>153</v>
      </c>
      <c r="D15" s="473"/>
      <c r="E15" s="264">
        <v>0</v>
      </c>
      <c r="F15" s="264">
        <v>500</v>
      </c>
      <c r="G15" s="265">
        <v>1000</v>
      </c>
      <c r="H15" s="265">
        <v>1600</v>
      </c>
      <c r="I15" s="265">
        <v>2200</v>
      </c>
      <c r="J15" s="265">
        <v>2800.0000000000005</v>
      </c>
      <c r="K15" s="265">
        <v>3800.0000000000005</v>
      </c>
    </row>
    <row r="16" spans="2:11" ht="15.6" customHeight="1">
      <c r="B16" s="553"/>
      <c r="C16" s="473" t="s">
        <v>154</v>
      </c>
      <c r="D16" s="473"/>
      <c r="E16" s="264" t="s">
        <v>164</v>
      </c>
      <c r="F16" s="264">
        <v>500</v>
      </c>
      <c r="G16" s="265">
        <v>1000</v>
      </c>
      <c r="H16" s="265">
        <v>1600</v>
      </c>
      <c r="I16" s="265">
        <v>2200</v>
      </c>
      <c r="J16" s="265">
        <v>2800.0000000000005</v>
      </c>
      <c r="K16" s="265">
        <v>3800.0000000000005</v>
      </c>
    </row>
    <row r="17" spans="2:11" ht="15.6" customHeight="1">
      <c r="B17" s="553"/>
      <c r="C17" s="473" t="s">
        <v>155</v>
      </c>
      <c r="D17" s="473"/>
      <c r="E17" s="264" t="s">
        <v>164</v>
      </c>
      <c r="F17" s="264">
        <v>1000</v>
      </c>
      <c r="G17" s="265">
        <v>2000</v>
      </c>
      <c r="H17" s="265">
        <v>3200</v>
      </c>
      <c r="I17" s="265">
        <v>4400</v>
      </c>
      <c r="J17" s="265">
        <v>5600.0000000000009</v>
      </c>
      <c r="K17" s="265">
        <v>7600.0000000000009</v>
      </c>
    </row>
    <row r="18" spans="2:11" ht="15.6" customHeight="1">
      <c r="B18" s="553"/>
      <c r="C18" s="473" t="s">
        <v>156</v>
      </c>
      <c r="D18" s="473"/>
      <c r="E18" s="264" t="s">
        <v>164</v>
      </c>
      <c r="F18" s="264">
        <v>500</v>
      </c>
      <c r="G18" s="265">
        <v>1000</v>
      </c>
      <c r="H18" s="265">
        <v>1600</v>
      </c>
      <c r="I18" s="265">
        <v>2200</v>
      </c>
      <c r="J18" s="265">
        <v>2800.0000000000005</v>
      </c>
      <c r="K18" s="265">
        <v>3800.0000000000005</v>
      </c>
    </row>
    <row r="19" spans="2:11" ht="15.6" customHeight="1">
      <c r="B19" s="553"/>
      <c r="C19" s="473" t="s">
        <v>157</v>
      </c>
      <c r="D19" s="473"/>
      <c r="E19" s="264" t="s">
        <v>164</v>
      </c>
      <c r="F19" s="264">
        <v>500</v>
      </c>
      <c r="G19" s="265">
        <v>1000</v>
      </c>
      <c r="H19" s="265">
        <v>1600</v>
      </c>
      <c r="I19" s="265">
        <v>2200</v>
      </c>
      <c r="J19" s="265">
        <v>2800.0000000000005</v>
      </c>
      <c r="K19" s="265">
        <v>3800.0000000000005</v>
      </c>
    </row>
    <row r="20" spans="2:11" ht="15.6" customHeight="1">
      <c r="B20" s="553"/>
      <c r="C20" s="473" t="s">
        <v>158</v>
      </c>
      <c r="D20" s="473"/>
      <c r="E20" s="264" t="s">
        <v>164</v>
      </c>
      <c r="F20" s="264">
        <v>500</v>
      </c>
      <c r="G20" s="265">
        <v>1000</v>
      </c>
      <c r="H20" s="265">
        <v>1600</v>
      </c>
      <c r="I20" s="265">
        <v>2200</v>
      </c>
      <c r="J20" s="265">
        <v>2800.0000000000005</v>
      </c>
      <c r="K20" s="265">
        <v>3800.0000000000005</v>
      </c>
    </row>
    <row r="21" spans="2:11" ht="15.6" customHeight="1" thickBot="1">
      <c r="B21" s="554"/>
      <c r="C21" s="474" t="s">
        <v>159</v>
      </c>
      <c r="D21" s="474"/>
      <c r="E21" s="264" t="s">
        <v>164</v>
      </c>
      <c r="F21" s="264">
        <v>500</v>
      </c>
      <c r="G21" s="265">
        <v>1000</v>
      </c>
      <c r="H21" s="265">
        <v>1600</v>
      </c>
      <c r="I21" s="265">
        <v>2200</v>
      </c>
      <c r="J21" s="265">
        <v>2800.0000000000005</v>
      </c>
      <c r="K21" s="265">
        <v>3800.0000000000005</v>
      </c>
    </row>
    <row r="22" spans="2:11" ht="123" customHeight="1">
      <c r="B22" s="548" t="s">
        <v>173</v>
      </c>
      <c r="C22" s="549" t="s">
        <v>161</v>
      </c>
      <c r="D22" s="549"/>
      <c r="E22" s="264">
        <v>1000</v>
      </c>
      <c r="F22" s="264">
        <v>1000</v>
      </c>
      <c r="G22" s="264">
        <v>1000</v>
      </c>
      <c r="H22" s="264">
        <v>1000</v>
      </c>
      <c r="I22" s="264">
        <v>1000</v>
      </c>
      <c r="J22" s="264">
        <v>1000</v>
      </c>
      <c r="K22" s="264">
        <v>1000</v>
      </c>
    </row>
    <row r="23" spans="2:11" ht="132" customHeight="1">
      <c r="B23" s="548"/>
      <c r="C23" s="550" t="s">
        <v>162</v>
      </c>
      <c r="D23" s="551"/>
      <c r="E23" s="264">
        <v>2000</v>
      </c>
      <c r="F23" s="264">
        <v>2000</v>
      </c>
      <c r="G23" s="264">
        <v>2000</v>
      </c>
      <c r="H23" s="264">
        <v>2000</v>
      </c>
      <c r="I23" s="264">
        <v>2000</v>
      </c>
      <c r="J23" s="264">
        <v>2000</v>
      </c>
      <c r="K23" s="264">
        <v>2000</v>
      </c>
    </row>
  </sheetData>
  <mergeCells count="22">
    <mergeCell ref="B4:D4"/>
    <mergeCell ref="C5:D5"/>
    <mergeCell ref="C6:D6"/>
    <mergeCell ref="B8:B12"/>
    <mergeCell ref="C8:D8"/>
    <mergeCell ref="C9:D9"/>
    <mergeCell ref="C10:D10"/>
    <mergeCell ref="C11:D11"/>
    <mergeCell ref="C12:D12"/>
    <mergeCell ref="B22:B23"/>
    <mergeCell ref="C22:D22"/>
    <mergeCell ref="C23:D23"/>
    <mergeCell ref="B13:B21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</mergeCells>
  <pageMargins left="0.7" right="0.7" top="0.75" bottom="0.75" header="0.3" footer="0.3"/>
  <pageSetup paperSize="9" scale="76"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8CEE4-9FAC-49A7-BBFF-F27C294D6728}">
  <sheetPr codeName="Лист7"/>
  <dimension ref="E4:E6"/>
  <sheetViews>
    <sheetView workbookViewId="0"/>
  </sheetViews>
  <sheetFormatPr defaultRowHeight="12.75"/>
  <cols>
    <col min="5" max="5" width="47.5703125" customWidth="1"/>
  </cols>
  <sheetData>
    <row r="4" spans="5:5" ht="20.25">
      <c r="E4" s="97" t="s">
        <v>114</v>
      </c>
    </row>
    <row r="5" spans="5:5" ht="20.25">
      <c r="E5" s="97" t="s">
        <v>115</v>
      </c>
    </row>
    <row r="6" spans="5:5" ht="20.25">
      <c r="E6" s="97" t="s">
        <v>18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32CF3EC-0E71-44FF-9094-5F1EE46338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28</vt:i4>
      </vt:variant>
      <vt:variant>
        <vt:lpstr>Именованные диапазоны</vt:lpstr>
      </vt:variant>
      <vt:variant>
        <vt:i4>2</vt:i4>
      </vt:variant>
    </vt:vector>
  </HeadingPairs>
  <TitlesOfParts>
    <vt:vector size="30" baseType="lpstr">
      <vt:lpstr>rev.</vt:lpstr>
      <vt:lpstr>Наценки-Скидки</vt:lpstr>
      <vt:lpstr>Потребление устроиств</vt:lpstr>
      <vt:lpstr>Конфигуратор лицензии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Spare parts</vt:lpstr>
      <vt:lpstr>SW(w.o.VAT)</vt:lpstr>
      <vt:lpstr>Work</vt:lpstr>
      <vt:lpstr>Сводная спецификация</vt:lpstr>
      <vt:lpstr>Спец_ТКП</vt:lpstr>
      <vt:lpstr>Копия прайса для расчета</vt:lpstr>
      <vt:lpstr>System</vt:lpstr>
      <vt:lpstr>Work!Область_печати</vt:lpstr>
      <vt:lpstr>'Потребление устроиств'!Область_печати</vt:lpstr>
    </vt:vector>
  </TitlesOfParts>
  <Company>Emerson Process Management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ABagdasaryan</dc:creator>
  <cp:lastModifiedBy>ABagdasaryan</cp:lastModifiedBy>
  <cp:lastPrinted>2026-07-29T13:16:22Z</cp:lastPrinted>
  <dcterms:created xsi:type="dcterms:W3CDTF">2008-12-05T13:19:09Z</dcterms:created>
  <dcterms:modified xsi:type="dcterms:W3CDTF">2026-10-16T08:36:31Z</dcterms:modified>
</cp:coreProperties>
</file>